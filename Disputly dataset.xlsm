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timelines/timeline1.xml" ContentType="application/vnd.ms-excel.timelin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E922A60F-718B-4F24-A609-B6E604A75895}" xr6:coauthVersionLast="47" xr6:coauthVersionMax="47" xr10:uidLastSave="{00000000-0000-0000-0000-000000000000}"/>
  <bookViews>
    <workbookView xWindow="-120" yWindow="-120" windowWidth="20730" windowHeight="11160" activeTab="2" xr2:uid="{460C2CB9-896D-44BC-AE17-594EDA3F539C}"/>
  </bookViews>
  <sheets>
    <sheet name="Sheet1" sheetId="1" r:id="rId1"/>
    <sheet name="Sheet3" sheetId="3" r:id="rId2"/>
    <sheet name="Sheet2" sheetId="2" r:id="rId3"/>
  </sheets>
  <definedNames>
    <definedName name="NativeTimeline_Dispute_Date">#N/A</definedName>
  </definedNames>
  <calcPr calcId="191029"/>
  <pivotCaches>
    <pivotCache cacheId="0" r:id="rId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7" i="1" l="1"/>
  <c r="M13" i="1"/>
  <c r="M5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2" i="1"/>
</calcChain>
</file>

<file path=xl/sharedStrings.xml><?xml version="1.0" encoding="utf-8"?>
<sst xmlns="http://schemas.openxmlformats.org/spreadsheetml/2006/main" count="2558" uniqueCount="532">
  <si>
    <t>Order_Date</t>
  </si>
  <si>
    <t>Dispute_Date</t>
  </si>
  <si>
    <t>Resolution_Date</t>
  </si>
  <si>
    <t>Customer_Segment</t>
  </si>
  <si>
    <t>Product_Category</t>
  </si>
  <si>
    <t>Dispute_Reason</t>
  </si>
  <si>
    <t>Refund_Amount</t>
  </si>
  <si>
    <t>Status</t>
  </si>
  <si>
    <t>DISP-1002</t>
  </si>
  <si>
    <t>Approved</t>
  </si>
  <si>
    <t>New</t>
  </si>
  <si>
    <t>Electronics</t>
  </si>
  <si>
    <t>Fraud</t>
  </si>
  <si>
    <t>DISP-1003</t>
  </si>
  <si>
    <t>Denied</t>
  </si>
  <si>
    <t>Standard</t>
  </si>
  <si>
    <t>Software</t>
  </si>
  <si>
    <t>DISP-1004</t>
  </si>
  <si>
    <t>Apparel</t>
  </si>
  <si>
    <t>Not Received</t>
  </si>
  <si>
    <t>DISP-1005</t>
  </si>
  <si>
    <t>DISP-1006</t>
  </si>
  <si>
    <t>Home</t>
  </si>
  <si>
    <t>Damaged</t>
  </si>
  <si>
    <t>DISP-1007</t>
  </si>
  <si>
    <t>VIP</t>
  </si>
  <si>
    <t>DISP-1008</t>
  </si>
  <si>
    <t>DISP-1009</t>
  </si>
  <si>
    <t>DISP-1010</t>
  </si>
  <si>
    <t>DISP-1011</t>
  </si>
  <si>
    <t>Incorrect Item</t>
  </si>
  <si>
    <t>DISP-1012</t>
  </si>
  <si>
    <t>DISP-1013</t>
  </si>
  <si>
    <t>DISP-1014</t>
  </si>
  <si>
    <t>DISP-1015</t>
  </si>
  <si>
    <t>DISP-1016</t>
  </si>
  <si>
    <t>DISP-1017</t>
  </si>
  <si>
    <t>DISP-1018</t>
  </si>
  <si>
    <t>DISP-1019</t>
  </si>
  <si>
    <t>DISP-1020</t>
  </si>
  <si>
    <t>DISP-1021</t>
  </si>
  <si>
    <t>DISP-1022</t>
  </si>
  <si>
    <t>DISP-1023</t>
  </si>
  <si>
    <t>DISP-1024</t>
  </si>
  <si>
    <t>DISP-1025</t>
  </si>
  <si>
    <t>DISP-1026</t>
  </si>
  <si>
    <t>In Progress</t>
  </si>
  <si>
    <t>DISP-1027</t>
  </si>
  <si>
    <t>DISP-1028</t>
  </si>
  <si>
    <t>DISP-1029</t>
  </si>
  <si>
    <t>DISP-1030</t>
  </si>
  <si>
    <t>DISP-1031</t>
  </si>
  <si>
    <t>DISP-1032</t>
  </si>
  <si>
    <t>DISP-1033</t>
  </si>
  <si>
    <t>DISP-1034</t>
  </si>
  <si>
    <t>DISP-1035</t>
  </si>
  <si>
    <t>DISP-1036</t>
  </si>
  <si>
    <t>DISP-1037</t>
  </si>
  <si>
    <t>DISP-1038</t>
  </si>
  <si>
    <t>DISP-1039</t>
  </si>
  <si>
    <t>DISP-1040</t>
  </si>
  <si>
    <t>DISP-1041</t>
  </si>
  <si>
    <t>DISP-1042</t>
  </si>
  <si>
    <t>DISP-1043</t>
  </si>
  <si>
    <t>DISP-1044</t>
  </si>
  <si>
    <t>DISP-1045</t>
  </si>
  <si>
    <t>DISP-1046</t>
  </si>
  <si>
    <t>DISP-1047</t>
  </si>
  <si>
    <t>DISP-1048</t>
  </si>
  <si>
    <t>DISP-1049</t>
  </si>
  <si>
    <t>DISP-1050</t>
  </si>
  <si>
    <t>DISP-1051</t>
  </si>
  <si>
    <t>DISP-1052</t>
  </si>
  <si>
    <t>DISP-1053</t>
  </si>
  <si>
    <t>DISP-1054</t>
  </si>
  <si>
    <t>DISP-1055</t>
  </si>
  <si>
    <t>DISP-1056</t>
  </si>
  <si>
    <t>DISP-1057</t>
  </si>
  <si>
    <t>DISP-1058</t>
  </si>
  <si>
    <t>DISP-1059</t>
  </si>
  <si>
    <t>DISP-1060</t>
  </si>
  <si>
    <t>DISP-1061</t>
  </si>
  <si>
    <t>DISP-1062</t>
  </si>
  <si>
    <t>DISP-1063</t>
  </si>
  <si>
    <t>DISP-1064</t>
  </si>
  <si>
    <t>DISP-1065</t>
  </si>
  <si>
    <t>DISP-1066</t>
  </si>
  <si>
    <t>DISP-1067</t>
  </si>
  <si>
    <t>DISP-1068</t>
  </si>
  <si>
    <t>DISP-1069</t>
  </si>
  <si>
    <t>DISP-1070</t>
  </si>
  <si>
    <t>DISP-1071</t>
  </si>
  <si>
    <t>DISP-1072</t>
  </si>
  <si>
    <t>DISP-1073</t>
  </si>
  <si>
    <t>DISP-1074</t>
  </si>
  <si>
    <t>DISP-1075</t>
  </si>
  <si>
    <t>DISP-1076</t>
  </si>
  <si>
    <t>DISP-1077</t>
  </si>
  <si>
    <t>DISP-1078</t>
  </si>
  <si>
    <t>DISP-1079</t>
  </si>
  <si>
    <t>DISP-1080</t>
  </si>
  <si>
    <t>DISP-1081</t>
  </si>
  <si>
    <t>DISP-1082</t>
  </si>
  <si>
    <t>DISP-1083</t>
  </si>
  <si>
    <t>DISP-1084</t>
  </si>
  <si>
    <t>DISP-1085</t>
  </si>
  <si>
    <t>DISP-1086</t>
  </si>
  <si>
    <t>DISP-1087</t>
  </si>
  <si>
    <t>DISP-1088</t>
  </si>
  <si>
    <t>DISP-1089</t>
  </si>
  <si>
    <t>DISP-1090</t>
  </si>
  <si>
    <t>DISP-1091</t>
  </si>
  <si>
    <t>DISP-1092</t>
  </si>
  <si>
    <t>DISP-1093</t>
  </si>
  <si>
    <t>DISP-1094</t>
  </si>
  <si>
    <t>DISP-1095</t>
  </si>
  <si>
    <t>DISP-1096</t>
  </si>
  <si>
    <t>DISP-1097</t>
  </si>
  <si>
    <t>DISP-1098</t>
  </si>
  <si>
    <t>DISP-1099</t>
  </si>
  <si>
    <t>DISP-1100</t>
  </si>
  <si>
    <t>DISP-1101</t>
  </si>
  <si>
    <t>DISP-1102</t>
  </si>
  <si>
    <t>DISP-1103</t>
  </si>
  <si>
    <t>DISP-1104</t>
  </si>
  <si>
    <t>DISP-1105</t>
  </si>
  <si>
    <t>DISP-1106</t>
  </si>
  <si>
    <t>DISP-1107</t>
  </si>
  <si>
    <t>DISP-1108</t>
  </si>
  <si>
    <t>DISP-1109</t>
  </si>
  <si>
    <t>DISP-1110</t>
  </si>
  <si>
    <t>DISP-1111</t>
  </si>
  <si>
    <t>DISP-1112</t>
  </si>
  <si>
    <t>DISP-1113</t>
  </si>
  <si>
    <t>DISP-1114</t>
  </si>
  <si>
    <t>DISP-1115</t>
  </si>
  <si>
    <t>DISP-1116</t>
  </si>
  <si>
    <t>DISP-1117</t>
  </si>
  <si>
    <t>DISP-1118</t>
  </si>
  <si>
    <t>DISP-1119</t>
  </si>
  <si>
    <t>DISP-1120</t>
  </si>
  <si>
    <t>DISP-1121</t>
  </si>
  <si>
    <t>DISP-1122</t>
  </si>
  <si>
    <t>DISP-1123</t>
  </si>
  <si>
    <t>DISP-1124</t>
  </si>
  <si>
    <t>DISP-1125</t>
  </si>
  <si>
    <t>DISP-1126</t>
  </si>
  <si>
    <t>DISP-1127</t>
  </si>
  <si>
    <t>DISP-1128</t>
  </si>
  <si>
    <t>DISP-1129</t>
  </si>
  <si>
    <t>DISP-1130</t>
  </si>
  <si>
    <t>DISP-1131</t>
  </si>
  <si>
    <t>DISP-1132</t>
  </si>
  <si>
    <t>DISP-1133</t>
  </si>
  <si>
    <t>DISP-1134</t>
  </si>
  <si>
    <t>DISP-1135</t>
  </si>
  <si>
    <t>DISP-1136</t>
  </si>
  <si>
    <t>DISP-1137</t>
  </si>
  <si>
    <t>DISP-1138</t>
  </si>
  <si>
    <t>DISP-1139</t>
  </si>
  <si>
    <t>DISP-1140</t>
  </si>
  <si>
    <t>DISP-1141</t>
  </si>
  <si>
    <t>DISP-1142</t>
  </si>
  <si>
    <t>DISP-1143</t>
  </si>
  <si>
    <t>DISP-1144</t>
  </si>
  <si>
    <t>DISP-1145</t>
  </si>
  <si>
    <t>DISP-1146</t>
  </si>
  <si>
    <t>DISP-1147</t>
  </si>
  <si>
    <t>DISP-1148</t>
  </si>
  <si>
    <t>DISP-1149</t>
  </si>
  <si>
    <t>DISP-1150</t>
  </si>
  <si>
    <t>DISP-1151</t>
  </si>
  <si>
    <t>DISP-1152</t>
  </si>
  <si>
    <t>DISP-1153</t>
  </si>
  <si>
    <t>DISP-1154</t>
  </si>
  <si>
    <t>DISP-1155</t>
  </si>
  <si>
    <t>DISP-1156</t>
  </si>
  <si>
    <t>DISP-1157</t>
  </si>
  <si>
    <t>DISP-1158</t>
  </si>
  <si>
    <t>DISP-1159</t>
  </si>
  <si>
    <t>DISP-1160</t>
  </si>
  <si>
    <t>DISP-1161</t>
  </si>
  <si>
    <t>DISP-1162</t>
  </si>
  <si>
    <t>DISP-1163</t>
  </si>
  <si>
    <t>DISP-1164</t>
  </si>
  <si>
    <t>DISP-1165</t>
  </si>
  <si>
    <t>DISP-1166</t>
  </si>
  <si>
    <t>DISP-1167</t>
  </si>
  <si>
    <t>DISP-1168</t>
  </si>
  <si>
    <t>DISP-1169</t>
  </si>
  <si>
    <t>DISP-1170</t>
  </si>
  <si>
    <t>DISP-1171</t>
  </si>
  <si>
    <t>DISP-1172</t>
  </si>
  <si>
    <t>DISP-1173</t>
  </si>
  <si>
    <t>DISP-1174</t>
  </si>
  <si>
    <t>DISP-1175</t>
  </si>
  <si>
    <t>DISP-1176</t>
  </si>
  <si>
    <t>DISP-1177</t>
  </si>
  <si>
    <t>DISP-1178</t>
  </si>
  <si>
    <t>DISP-1179</t>
  </si>
  <si>
    <t>DISP-1180</t>
  </si>
  <si>
    <t>DISP-1181</t>
  </si>
  <si>
    <t>DISP-1182</t>
  </si>
  <si>
    <t>DISP-1183</t>
  </si>
  <si>
    <t>DISP-1184</t>
  </si>
  <si>
    <t>DISP-1185</t>
  </si>
  <si>
    <t>DISP-1186</t>
  </si>
  <si>
    <t>DISP-1187</t>
  </si>
  <si>
    <t>DISP-1188</t>
  </si>
  <si>
    <t>DISP-1189</t>
  </si>
  <si>
    <t>DISP-1190</t>
  </si>
  <si>
    <t>DISP-1191</t>
  </si>
  <si>
    <t>DISP-1192</t>
  </si>
  <si>
    <t>DISP-1193</t>
  </si>
  <si>
    <t>DISP-1194</t>
  </si>
  <si>
    <t>DISP-1195</t>
  </si>
  <si>
    <t>DISP-1196</t>
  </si>
  <si>
    <t>DISP-1197</t>
  </si>
  <si>
    <t>DISP-1198</t>
  </si>
  <si>
    <t>DISP-1199</t>
  </si>
  <si>
    <t>DISP-1200</t>
  </si>
  <si>
    <t>DISP-1201</t>
  </si>
  <si>
    <t>DISP-1202</t>
  </si>
  <si>
    <t>DISP-1203</t>
  </si>
  <si>
    <t>DISP-1204</t>
  </si>
  <si>
    <t>DISP-1205</t>
  </si>
  <si>
    <t>DISP-1206</t>
  </si>
  <si>
    <t>DISP-1207</t>
  </si>
  <si>
    <t>DISP-1208</t>
  </si>
  <si>
    <t>DISP-1209</t>
  </si>
  <si>
    <t>DISP-1210</t>
  </si>
  <si>
    <t>DISP-1211</t>
  </si>
  <si>
    <t>DISP-1212</t>
  </si>
  <si>
    <t>DISP-1213</t>
  </si>
  <si>
    <t>DISP-1214</t>
  </si>
  <si>
    <t>DISP-1215</t>
  </si>
  <si>
    <t>DISP-1216</t>
  </si>
  <si>
    <t>DISP-1217</t>
  </si>
  <si>
    <t>DISP-1218</t>
  </si>
  <si>
    <t>DISP-1219</t>
  </si>
  <si>
    <t>DISP-1220</t>
  </si>
  <si>
    <t>DISP-1221</t>
  </si>
  <si>
    <t>DISP-1222</t>
  </si>
  <si>
    <t>DISP-1223</t>
  </si>
  <si>
    <t>DISP-1224</t>
  </si>
  <si>
    <t>DISP-1225</t>
  </si>
  <si>
    <t>DISP-1226</t>
  </si>
  <si>
    <t>DISP-1227</t>
  </si>
  <si>
    <t>DISP-1228</t>
  </si>
  <si>
    <t>DISP-1229</t>
  </si>
  <si>
    <t>DISP-1230</t>
  </si>
  <si>
    <t>DISP-1231</t>
  </si>
  <si>
    <t>DISP-1232</t>
  </si>
  <si>
    <t>DISP-1233</t>
  </si>
  <si>
    <t>DISP-1234</t>
  </si>
  <si>
    <t>DISP-1235</t>
  </si>
  <si>
    <t>DISP-1236</t>
  </si>
  <si>
    <t>DISP-1237</t>
  </si>
  <si>
    <t>DISP-1238</t>
  </si>
  <si>
    <t>DISP-1239</t>
  </si>
  <si>
    <t>DISP-1240</t>
  </si>
  <si>
    <t>DISP-1241</t>
  </si>
  <si>
    <t>DISP-1242</t>
  </si>
  <si>
    <t>DISP-1243</t>
  </si>
  <si>
    <t>DISP-1244</t>
  </si>
  <si>
    <t>DISP-1245</t>
  </si>
  <si>
    <t>DISP-1246</t>
  </si>
  <si>
    <t>DISP-1247</t>
  </si>
  <si>
    <t>DISP-1248</t>
  </si>
  <si>
    <t>DISP-1249</t>
  </si>
  <si>
    <t>DISP-1250</t>
  </si>
  <si>
    <t>DISP-1251</t>
  </si>
  <si>
    <t>DISP-1252</t>
  </si>
  <si>
    <t>DISP-1253</t>
  </si>
  <si>
    <t>DISP-1254</t>
  </si>
  <si>
    <t>DISP-1255</t>
  </si>
  <si>
    <t>DISP-1256</t>
  </si>
  <si>
    <t>DISP-1257</t>
  </si>
  <si>
    <t>DISP-1258</t>
  </si>
  <si>
    <t>DISP-1259</t>
  </si>
  <si>
    <t>DISP-1260</t>
  </si>
  <si>
    <t>DISP-1261</t>
  </si>
  <si>
    <t>DISP-1262</t>
  </si>
  <si>
    <t>DISP-1263</t>
  </si>
  <si>
    <t>DISP-1264</t>
  </si>
  <si>
    <t>DISP-1265</t>
  </si>
  <si>
    <t>DISP-1266</t>
  </si>
  <si>
    <t>DISP-1267</t>
  </si>
  <si>
    <t>DISP-1268</t>
  </si>
  <si>
    <t>DISP-1269</t>
  </si>
  <si>
    <t>DISP-1270</t>
  </si>
  <si>
    <t>DISP-1271</t>
  </si>
  <si>
    <t>DISP-1272</t>
  </si>
  <si>
    <t>DISP-1273</t>
  </si>
  <si>
    <t>DISP-1274</t>
  </si>
  <si>
    <t>DISP-1275</t>
  </si>
  <si>
    <t>DISP-1276</t>
  </si>
  <si>
    <t>DISP-1277</t>
  </si>
  <si>
    <t>DISP-1278</t>
  </si>
  <si>
    <t>DISP-1279</t>
  </si>
  <si>
    <t>DISP-1280</t>
  </si>
  <si>
    <t>DISP-1281</t>
  </si>
  <si>
    <t>DISP-1282</t>
  </si>
  <si>
    <t>DISP-1283</t>
  </si>
  <si>
    <t>DISP-1284</t>
  </si>
  <si>
    <t>DISP-1285</t>
  </si>
  <si>
    <t>DISP-1286</t>
  </si>
  <si>
    <t>DISP-1287</t>
  </si>
  <si>
    <t>DISP-1288</t>
  </si>
  <si>
    <t>DISP-1289</t>
  </si>
  <si>
    <t>DISP-1290</t>
  </si>
  <si>
    <t>DISP-1291</t>
  </si>
  <si>
    <t>DISP-1292</t>
  </si>
  <si>
    <t>DISP-1293</t>
  </si>
  <si>
    <t>DISP-1294</t>
  </si>
  <si>
    <t>DISP-1295</t>
  </si>
  <si>
    <t>DISP-1296</t>
  </si>
  <si>
    <t>DISP-1297</t>
  </si>
  <si>
    <t>DISP-1298</t>
  </si>
  <si>
    <t>DISP-1299</t>
  </si>
  <si>
    <t>DISP-1300</t>
  </si>
  <si>
    <t>DISP-1301</t>
  </si>
  <si>
    <t>DISP-1302</t>
  </si>
  <si>
    <t>DISP-1303</t>
  </si>
  <si>
    <t>DISP-1304</t>
  </si>
  <si>
    <t>DISP-1305</t>
  </si>
  <si>
    <t>DISP-1306</t>
  </si>
  <si>
    <t>DISP-1307</t>
  </si>
  <si>
    <t>DISP-1308</t>
  </si>
  <si>
    <t>DISP-1309</t>
  </si>
  <si>
    <t>DISP-1310</t>
  </si>
  <si>
    <t>DISP-1311</t>
  </si>
  <si>
    <t>DISP-1312</t>
  </si>
  <si>
    <t>DISP-1313</t>
  </si>
  <si>
    <t>DISP-1314</t>
  </si>
  <si>
    <t>DISP-1315</t>
  </si>
  <si>
    <t>DISP-1316</t>
  </si>
  <si>
    <t>DISP-1317</t>
  </si>
  <si>
    <t>DISP-1318</t>
  </si>
  <si>
    <t>DISP-1319</t>
  </si>
  <si>
    <t>DISP-1320</t>
  </si>
  <si>
    <t>DISP-1321</t>
  </si>
  <si>
    <t>DISP-1322</t>
  </si>
  <si>
    <t>DISP-1323</t>
  </si>
  <si>
    <t>DISP-1324</t>
  </si>
  <si>
    <t>DISP-1325</t>
  </si>
  <si>
    <t>DISP-1326</t>
  </si>
  <si>
    <t>DISP-1327</t>
  </si>
  <si>
    <t>DISP-1328</t>
  </si>
  <si>
    <t>DISP-1329</t>
  </si>
  <si>
    <t>DISP-1330</t>
  </si>
  <si>
    <t>DISP-1331</t>
  </si>
  <si>
    <t>DISP-1332</t>
  </si>
  <si>
    <t>DISP-1333</t>
  </si>
  <si>
    <t>DISP-1334</t>
  </si>
  <si>
    <t>DISP-1335</t>
  </si>
  <si>
    <t>DISP-1336</t>
  </si>
  <si>
    <t>DISP-1337</t>
  </si>
  <si>
    <t>DISP-1338</t>
  </si>
  <si>
    <t>DISP-1339</t>
  </si>
  <si>
    <t>DISP-1340</t>
  </si>
  <si>
    <t>DISP-1341</t>
  </si>
  <si>
    <t>DISP-1342</t>
  </si>
  <si>
    <t>DISP-1343</t>
  </si>
  <si>
    <t>DISP-1344</t>
  </si>
  <si>
    <t>DISP-1345</t>
  </si>
  <si>
    <t>DISP-1346</t>
  </si>
  <si>
    <t>DISP-1347</t>
  </si>
  <si>
    <t>DISP-1348</t>
  </si>
  <si>
    <t>DISP-1349</t>
  </si>
  <si>
    <t>DISP-1350</t>
  </si>
  <si>
    <t>DISP-1351</t>
  </si>
  <si>
    <t>DISP-1352</t>
  </si>
  <si>
    <t>DISP-1353</t>
  </si>
  <si>
    <t>DISP-1354</t>
  </si>
  <si>
    <t>DISP-1355</t>
  </si>
  <si>
    <t>DISP-1356</t>
  </si>
  <si>
    <t>DISP-1357</t>
  </si>
  <si>
    <t>DISP-1358</t>
  </si>
  <si>
    <t>DISP-1359</t>
  </si>
  <si>
    <t>DISP-1360</t>
  </si>
  <si>
    <t>DISP-1361</t>
  </si>
  <si>
    <t>DISP-1362</t>
  </si>
  <si>
    <t>DISP-1363</t>
  </si>
  <si>
    <t>DISP-1364</t>
  </si>
  <si>
    <t>DISP-1365</t>
  </si>
  <si>
    <t>DISP-1366</t>
  </si>
  <si>
    <t>DISP-1367</t>
  </si>
  <si>
    <t>DISP-1368</t>
  </si>
  <si>
    <t>DISP-1369</t>
  </si>
  <si>
    <t>DISP-1370</t>
  </si>
  <si>
    <t>DISP-1371</t>
  </si>
  <si>
    <t>DISP-1372</t>
  </si>
  <si>
    <t>DISP-1373</t>
  </si>
  <si>
    <t>DISP-1374</t>
  </si>
  <si>
    <t>DISP-1375</t>
  </si>
  <si>
    <t>DISP-1376</t>
  </si>
  <si>
    <t>DISP-1377</t>
  </si>
  <si>
    <t>DISP-1378</t>
  </si>
  <si>
    <t>DISP-1379</t>
  </si>
  <si>
    <t>DISP-1380</t>
  </si>
  <si>
    <t>DISP-1381</t>
  </si>
  <si>
    <t>DISP-1382</t>
  </si>
  <si>
    <t>DISP-1383</t>
  </si>
  <si>
    <t>DISP-1384</t>
  </si>
  <si>
    <t>DISP-1385</t>
  </si>
  <si>
    <t>DISP-1386</t>
  </si>
  <si>
    <t>DISP-1387</t>
  </si>
  <si>
    <t>DISP-1388</t>
  </si>
  <si>
    <t>DISP-1389</t>
  </si>
  <si>
    <t>DISP-1390</t>
  </si>
  <si>
    <t>DISP-1391</t>
  </si>
  <si>
    <t>DISP-1392</t>
  </si>
  <si>
    <t>DISP-1393</t>
  </si>
  <si>
    <t>DISP-1394</t>
  </si>
  <si>
    <t>DISP-1395</t>
  </si>
  <si>
    <t>DISP-1396</t>
  </si>
  <si>
    <t>DISP-1397</t>
  </si>
  <si>
    <t>DISP-1398</t>
  </si>
  <si>
    <t>DISP-1399</t>
  </si>
  <si>
    <t>DISP-1400</t>
  </si>
  <si>
    <t>DISP-1401</t>
  </si>
  <si>
    <t>DISP-1402</t>
  </si>
  <si>
    <t>DISP-1403</t>
  </si>
  <si>
    <t>DISP-1404</t>
  </si>
  <si>
    <t>DISP-1405</t>
  </si>
  <si>
    <t>DISP-1406</t>
  </si>
  <si>
    <t>DISP-1407</t>
  </si>
  <si>
    <t>DISP-1408</t>
  </si>
  <si>
    <t>DISP-1409</t>
  </si>
  <si>
    <t>DISP-1410</t>
  </si>
  <si>
    <t>DISP-1411</t>
  </si>
  <si>
    <t>DISP-1412</t>
  </si>
  <si>
    <t>DISP-1413</t>
  </si>
  <si>
    <t>DISP-1414</t>
  </si>
  <si>
    <t>DISP-1415</t>
  </si>
  <si>
    <t>DISP-1416</t>
  </si>
  <si>
    <t>DISP-1417</t>
  </si>
  <si>
    <t>DISP-1418</t>
  </si>
  <si>
    <t>DISP-1419</t>
  </si>
  <si>
    <t>DISP-1420</t>
  </si>
  <si>
    <t>DISP-1421</t>
  </si>
  <si>
    <t>DISP-1422</t>
  </si>
  <si>
    <t>DISP-1423</t>
  </si>
  <si>
    <t>DISP-1424</t>
  </si>
  <si>
    <t>DISP-1425</t>
  </si>
  <si>
    <t>DISP-1426</t>
  </si>
  <si>
    <t>DISP-1427</t>
  </si>
  <si>
    <t>DISP-1428</t>
  </si>
  <si>
    <t>DISP-1429</t>
  </si>
  <si>
    <t>DISP-1430</t>
  </si>
  <si>
    <t>DISP-1431</t>
  </si>
  <si>
    <t>DISP-1432</t>
  </si>
  <si>
    <t>DISP-1433</t>
  </si>
  <si>
    <t>DISP-1434</t>
  </si>
  <si>
    <t>DISP-1435</t>
  </si>
  <si>
    <t>DISP-1436</t>
  </si>
  <si>
    <t>DISP-1437</t>
  </si>
  <si>
    <t>DISP-1438</t>
  </si>
  <si>
    <t>DISP-1439</t>
  </si>
  <si>
    <t>DISP-1440</t>
  </si>
  <si>
    <t>DISP-1441</t>
  </si>
  <si>
    <t>DISP-1442</t>
  </si>
  <si>
    <t>DISP-1443</t>
  </si>
  <si>
    <t>DISP-1444</t>
  </si>
  <si>
    <t>DISP-1445</t>
  </si>
  <si>
    <t>DISP-1446</t>
  </si>
  <si>
    <t>DISP-1447</t>
  </si>
  <si>
    <t>DISP-1448</t>
  </si>
  <si>
    <t>DISP-1449</t>
  </si>
  <si>
    <t>DISP-1450</t>
  </si>
  <si>
    <t>DISP-1451</t>
  </si>
  <si>
    <t>DISP-1452</t>
  </si>
  <si>
    <t>DISP-1453</t>
  </si>
  <si>
    <t>DISP-1454</t>
  </si>
  <si>
    <t>DISP-1455</t>
  </si>
  <si>
    <t>DISP-1456</t>
  </si>
  <si>
    <t>DISP-1457</t>
  </si>
  <si>
    <t>DISP-1458</t>
  </si>
  <si>
    <t>DISP-1459</t>
  </si>
  <si>
    <t>DISP-1460</t>
  </si>
  <si>
    <t>DISP-1461</t>
  </si>
  <si>
    <t>DISP-1462</t>
  </si>
  <si>
    <t>DISP-1463</t>
  </si>
  <si>
    <t>DISP-1464</t>
  </si>
  <si>
    <t>DISP-1465</t>
  </si>
  <si>
    <t>DISP-1466</t>
  </si>
  <si>
    <t>DISP-1467</t>
  </si>
  <si>
    <t>DISP-1468</t>
  </si>
  <si>
    <t>DISP-1469</t>
  </si>
  <si>
    <t>DISP-1470</t>
  </si>
  <si>
    <t>DISP-1471</t>
  </si>
  <si>
    <t>DISP-1472</t>
  </si>
  <si>
    <t>DISP-1473</t>
  </si>
  <si>
    <t>DISP-1474</t>
  </si>
  <si>
    <t>DISP-1475</t>
  </si>
  <si>
    <t>DISP-1476</t>
  </si>
  <si>
    <t>DISP-1477</t>
  </si>
  <si>
    <t>DISP-1478</t>
  </si>
  <si>
    <t>DISP-1479</t>
  </si>
  <si>
    <t>DISP-1480</t>
  </si>
  <si>
    <t>DISP-1481</t>
  </si>
  <si>
    <t>DISP-1482</t>
  </si>
  <si>
    <t>DISP-1483</t>
  </si>
  <si>
    <t>DISP-1484</t>
  </si>
  <si>
    <t>DISP-1485</t>
  </si>
  <si>
    <t>DISP-1486</t>
  </si>
  <si>
    <t>DISP-1487</t>
  </si>
  <si>
    <t>DISP-1488</t>
  </si>
  <si>
    <t>DISP-1489</t>
  </si>
  <si>
    <t>DISP-1490</t>
  </si>
  <si>
    <t>DISP-1491</t>
  </si>
  <si>
    <t>DISP-1492</t>
  </si>
  <si>
    <t>DISP-1493</t>
  </si>
  <si>
    <t>DISP-1494</t>
  </si>
  <si>
    <t>DISP-1495</t>
  </si>
  <si>
    <t>DISP-1496</t>
  </si>
  <si>
    <t>DISP-1497</t>
  </si>
  <si>
    <t>DISP-1498</t>
  </si>
  <si>
    <t>DISP-1499</t>
  </si>
  <si>
    <t>DISP-1500</t>
  </si>
  <si>
    <t>DISP-1501</t>
  </si>
  <si>
    <t>Dispute</t>
  </si>
  <si>
    <t>Time_Line</t>
  </si>
  <si>
    <t>Row Labels</t>
  </si>
  <si>
    <t>Grand Total</t>
  </si>
  <si>
    <t>Sum of Refund_Amount</t>
  </si>
  <si>
    <t>Count of Dispute</t>
  </si>
  <si>
    <t>Status_Bucket</t>
  </si>
  <si>
    <t>Column Labels</t>
  </si>
  <si>
    <t>Money locked In Progress</t>
  </si>
  <si>
    <t>Average of Refund_Amount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</si>
</sst>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&quot;$&quot;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5">
    <dxf>
      <numFmt numFmtId="165" formatCode="&quot;$&quot;#,##0.00"/>
    </dxf>
    <dxf>
      <numFmt numFmtId="164" formatCode="yyyy\-mm\-dd;@"/>
    </dxf>
    <dxf>
      <numFmt numFmtId="1" formatCode="0"/>
    </dxf>
    <dxf>
      <numFmt numFmtId="164" formatCode="yyyy\-mm\-dd;@"/>
    </dxf>
    <dxf>
      <numFmt numFmtId="164" formatCode="yyyy\-mm\-dd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11/relationships/timelineCache" Target="timelineCaches/timelineCach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[Disputly dataset.xlsm]Sheet3!PivotTable3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1"/>
              <a:t>Claims</a:t>
            </a:r>
            <a:r>
              <a:rPr lang="en-US" b="1" i="1" baseline="0"/>
              <a:t> Processing Status by Reason</a:t>
            </a:r>
            <a:r>
              <a:rPr lang="en-US" b="1" i="1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Sheet3!$B$20:$B$21</c:f>
              <c:strCache>
                <c:ptCount val="1"/>
                <c:pt idx="0">
                  <c:v>Approved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Sheet3!$A$22:$A$26</c:f>
              <c:strCache>
                <c:ptCount val="4"/>
                <c:pt idx="0">
                  <c:v>Not Received</c:v>
                </c:pt>
                <c:pt idx="1">
                  <c:v>Fraud</c:v>
                </c:pt>
                <c:pt idx="2">
                  <c:v>Incorrect Item</c:v>
                </c:pt>
                <c:pt idx="3">
                  <c:v>Damaged</c:v>
                </c:pt>
              </c:strCache>
            </c:strRef>
          </c:cat>
          <c:val>
            <c:numRef>
              <c:f>Sheet3!$B$22:$B$26</c:f>
              <c:numCache>
                <c:formatCode>General</c:formatCode>
                <c:ptCount val="4"/>
                <c:pt idx="0">
                  <c:v>50</c:v>
                </c:pt>
                <c:pt idx="1">
                  <c:v>46</c:v>
                </c:pt>
                <c:pt idx="2">
                  <c:v>49</c:v>
                </c:pt>
                <c:pt idx="3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01-42E5-ABBE-45AFBAC7ED67}"/>
            </c:ext>
          </c:extLst>
        </c:ser>
        <c:ser>
          <c:idx val="1"/>
          <c:order val="1"/>
          <c:tx>
            <c:strRef>
              <c:f>Sheet3!$C$20:$C$21</c:f>
              <c:strCache>
                <c:ptCount val="1"/>
                <c:pt idx="0">
                  <c:v>Denied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Sheet3!$A$22:$A$26</c:f>
              <c:strCache>
                <c:ptCount val="4"/>
                <c:pt idx="0">
                  <c:v>Not Received</c:v>
                </c:pt>
                <c:pt idx="1">
                  <c:v>Fraud</c:v>
                </c:pt>
                <c:pt idx="2">
                  <c:v>Incorrect Item</c:v>
                </c:pt>
                <c:pt idx="3">
                  <c:v>Damaged</c:v>
                </c:pt>
              </c:strCache>
            </c:strRef>
          </c:cat>
          <c:val>
            <c:numRef>
              <c:f>Sheet3!$C$22:$C$26</c:f>
              <c:numCache>
                <c:formatCode>General</c:formatCode>
                <c:ptCount val="4"/>
                <c:pt idx="0">
                  <c:v>65</c:v>
                </c:pt>
                <c:pt idx="1">
                  <c:v>57</c:v>
                </c:pt>
                <c:pt idx="2">
                  <c:v>51</c:v>
                </c:pt>
                <c:pt idx="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701-42E5-ABBE-45AFBAC7ED67}"/>
            </c:ext>
          </c:extLst>
        </c:ser>
        <c:ser>
          <c:idx val="2"/>
          <c:order val="2"/>
          <c:tx>
            <c:strRef>
              <c:f>Sheet3!$D$20:$D$21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Sheet3!$A$22:$A$26</c:f>
              <c:strCache>
                <c:ptCount val="4"/>
                <c:pt idx="0">
                  <c:v>Not Received</c:v>
                </c:pt>
                <c:pt idx="1">
                  <c:v>Fraud</c:v>
                </c:pt>
                <c:pt idx="2">
                  <c:v>Incorrect Item</c:v>
                </c:pt>
                <c:pt idx="3">
                  <c:v>Damaged</c:v>
                </c:pt>
              </c:strCache>
            </c:strRef>
          </c:cat>
          <c:val>
            <c:numRef>
              <c:f>Sheet3!$D$22:$D$26</c:f>
              <c:numCache>
                <c:formatCode>General</c:formatCode>
                <c:ptCount val="4"/>
                <c:pt idx="0">
                  <c:v>24</c:v>
                </c:pt>
                <c:pt idx="1">
                  <c:v>22</c:v>
                </c:pt>
                <c:pt idx="2">
                  <c:v>24</c:v>
                </c:pt>
                <c:pt idx="3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701-42E5-ABBE-45AFBAC7ED6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11211160"/>
        <c:axId val="511212960"/>
      </c:barChart>
      <c:catAx>
        <c:axId val="511211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i="1"/>
                  <a:t>Dispute</a:t>
                </a:r>
                <a:r>
                  <a:rPr lang="en-US" b="1" i="1" baseline="0"/>
                  <a:t> Reason</a:t>
                </a:r>
                <a:r>
                  <a:rPr lang="en-US" b="1" i="1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212960"/>
        <c:crosses val="autoZero"/>
        <c:auto val="1"/>
        <c:lblAlgn val="ctr"/>
        <c:lblOffset val="100"/>
        <c:noMultiLvlLbl val="0"/>
      </c:catAx>
      <c:valAx>
        <c:axId val="511212960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i="1"/>
                  <a:t>Number of Disputes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511211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[Disputly dataset.xlsm]Sheet3!PivotTable1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 Refund Amount and Dispute</a:t>
            </a:r>
            <a:r>
              <a:rPr lang="en-US" b="1" baseline="0"/>
              <a:t> Count by Product Category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Sheet3!$B$3</c:f>
              <c:strCache>
                <c:ptCount val="1"/>
                <c:pt idx="0">
                  <c:v>Sum of Refund_Amount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Sheet3!$A$4:$A$8</c:f>
              <c:strCache>
                <c:ptCount val="4"/>
                <c:pt idx="0">
                  <c:v>Apparel</c:v>
                </c:pt>
                <c:pt idx="1">
                  <c:v>Home</c:v>
                </c:pt>
                <c:pt idx="2">
                  <c:v>Software</c:v>
                </c:pt>
                <c:pt idx="3">
                  <c:v>Electronics</c:v>
                </c:pt>
              </c:strCache>
            </c:strRef>
          </c:cat>
          <c:val>
            <c:numRef>
              <c:f>Sheet3!$B$4:$B$8</c:f>
              <c:numCache>
                <c:formatCode>"$"#,##0.00</c:formatCode>
                <c:ptCount val="4"/>
                <c:pt idx="0">
                  <c:v>83968.630083084106</c:v>
                </c:pt>
                <c:pt idx="1">
                  <c:v>79195.709892272949</c:v>
                </c:pt>
                <c:pt idx="2">
                  <c:v>69793.559814453125</c:v>
                </c:pt>
                <c:pt idx="3">
                  <c:v>67656.439929962158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F8-4437-8C58-77F9A30AA66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11211520"/>
        <c:axId val="511203240"/>
      </c:barChart>
      <c:lineChart>
        <c:grouping val="standard"/>
        <c:varyColors val="0"/>
        <c:ser>
          <c:idx val="1"/>
          <c:order val="1"/>
          <c:tx>
            <c:strRef>
              <c:f>Sheet3!$C$3</c:f>
              <c:strCache>
                <c:ptCount val="1"/>
                <c:pt idx="0">
                  <c:v>Count of Dispute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Sheet3!$A$4:$A$8</c:f>
              <c:strCache>
                <c:ptCount val="4"/>
                <c:pt idx="0">
                  <c:v>Apparel</c:v>
                </c:pt>
                <c:pt idx="1">
                  <c:v>Home</c:v>
                </c:pt>
                <c:pt idx="2">
                  <c:v>Software</c:v>
                </c:pt>
                <c:pt idx="3">
                  <c:v>Electronics</c:v>
                </c:pt>
              </c:strCache>
            </c:strRef>
          </c:cat>
          <c:val>
            <c:numRef>
              <c:f>Sheet3!$C$4:$C$8</c:f>
              <c:numCache>
                <c:formatCode>General</c:formatCode>
                <c:ptCount val="4"/>
                <c:pt idx="0">
                  <c:v>134</c:v>
                </c:pt>
                <c:pt idx="1">
                  <c:v>132</c:v>
                </c:pt>
                <c:pt idx="2">
                  <c:v>119</c:v>
                </c:pt>
                <c:pt idx="3">
                  <c:v>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F8-4437-8C58-77F9A30AA66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4255720"/>
        <c:axId val="654254280"/>
      </c:lineChart>
      <c:catAx>
        <c:axId val="511211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Product</a:t>
                </a:r>
                <a:r>
                  <a:rPr lang="en-US" b="1" baseline="0"/>
                  <a:t> Category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203240"/>
        <c:crosses val="autoZero"/>
        <c:auto val="1"/>
        <c:lblAlgn val="ctr"/>
        <c:lblOffset val="100"/>
        <c:noMultiLvlLbl val="0"/>
      </c:catAx>
      <c:valAx>
        <c:axId val="51120324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Refund Amount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211520"/>
        <c:crosses val="autoZero"/>
        <c:crossBetween val="between"/>
      </c:valAx>
      <c:valAx>
        <c:axId val="65425428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Dispute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255720"/>
        <c:crosses val="max"/>
        <c:crossBetween val="between"/>
      </c:valAx>
      <c:catAx>
        <c:axId val="654255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542542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[Disputly dataset.xlsm]Sheet3!PivotTable4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1"/>
              <a:t>Dispute Volume</a:t>
            </a:r>
            <a:r>
              <a:rPr lang="en-US" b="1" i="1" baseline="0"/>
              <a:t>  by Category</a:t>
            </a:r>
            <a:r>
              <a:rPr lang="en-US" b="1" i="1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Sheet3!$B$32:$B$33</c:f>
              <c:strCache>
                <c:ptCount val="1"/>
                <c:pt idx="0">
                  <c:v>Approved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Sheet3!$A$34:$A$38</c:f>
              <c:strCache>
                <c:ptCount val="4"/>
                <c:pt idx="0">
                  <c:v>Apparel</c:v>
                </c:pt>
                <c:pt idx="1">
                  <c:v>Electronics</c:v>
                </c:pt>
                <c:pt idx="2">
                  <c:v>Home</c:v>
                </c:pt>
                <c:pt idx="3">
                  <c:v>Software</c:v>
                </c:pt>
              </c:strCache>
            </c:strRef>
          </c:cat>
          <c:val>
            <c:numRef>
              <c:f>Sheet3!$B$34:$B$38</c:f>
              <c:numCache>
                <c:formatCode>General</c:formatCode>
                <c:ptCount val="4"/>
                <c:pt idx="0">
                  <c:v>61</c:v>
                </c:pt>
                <c:pt idx="1">
                  <c:v>38</c:v>
                </c:pt>
                <c:pt idx="2">
                  <c:v>52</c:v>
                </c:pt>
                <c:pt idx="3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4A-476E-AFF0-A3AA9877BAF4}"/>
            </c:ext>
          </c:extLst>
        </c:ser>
        <c:ser>
          <c:idx val="1"/>
          <c:order val="1"/>
          <c:tx>
            <c:strRef>
              <c:f>Sheet3!$C$32:$C$33</c:f>
              <c:strCache>
                <c:ptCount val="1"/>
                <c:pt idx="0">
                  <c:v>Denied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Sheet3!$A$34:$A$38</c:f>
              <c:strCache>
                <c:ptCount val="4"/>
                <c:pt idx="0">
                  <c:v>Apparel</c:v>
                </c:pt>
                <c:pt idx="1">
                  <c:v>Electronics</c:v>
                </c:pt>
                <c:pt idx="2">
                  <c:v>Home</c:v>
                </c:pt>
                <c:pt idx="3">
                  <c:v>Software</c:v>
                </c:pt>
              </c:strCache>
            </c:strRef>
          </c:cat>
          <c:val>
            <c:numRef>
              <c:f>Sheet3!$C$34:$C$38</c:f>
              <c:numCache>
                <c:formatCode>General</c:formatCode>
                <c:ptCount val="4"/>
                <c:pt idx="0">
                  <c:v>52</c:v>
                </c:pt>
                <c:pt idx="1">
                  <c:v>57</c:v>
                </c:pt>
                <c:pt idx="2">
                  <c:v>50</c:v>
                </c:pt>
                <c:pt idx="3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A-476E-AFF0-A3AA9877BAF4}"/>
            </c:ext>
          </c:extLst>
        </c:ser>
        <c:ser>
          <c:idx val="2"/>
          <c:order val="2"/>
          <c:tx>
            <c:strRef>
              <c:f>Sheet3!$D$32:$D$33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Sheet3!$A$34:$A$38</c:f>
              <c:strCache>
                <c:ptCount val="4"/>
                <c:pt idx="0">
                  <c:v>Apparel</c:v>
                </c:pt>
                <c:pt idx="1">
                  <c:v>Electronics</c:v>
                </c:pt>
                <c:pt idx="2">
                  <c:v>Home</c:v>
                </c:pt>
                <c:pt idx="3">
                  <c:v>Software</c:v>
                </c:pt>
              </c:strCache>
            </c:strRef>
          </c:cat>
          <c:val>
            <c:numRef>
              <c:f>Sheet3!$D$34:$D$38</c:f>
              <c:numCache>
                <c:formatCode>General</c:formatCode>
                <c:ptCount val="4"/>
                <c:pt idx="0">
                  <c:v>21</c:v>
                </c:pt>
                <c:pt idx="1">
                  <c:v>20</c:v>
                </c:pt>
                <c:pt idx="2">
                  <c:v>30</c:v>
                </c:pt>
                <c:pt idx="3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4A-476E-AFF0-A3AA9877BAF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45710408"/>
        <c:axId val="645708608"/>
      </c:barChart>
      <c:catAx>
        <c:axId val="645710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708608"/>
        <c:crosses val="autoZero"/>
        <c:auto val="1"/>
        <c:lblAlgn val="ctr"/>
        <c:lblOffset val="100"/>
        <c:noMultiLvlLbl val="0"/>
      </c:catAx>
      <c:valAx>
        <c:axId val="6457086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Dispute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710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[Disputly dataset.xlsm]Sheet3!PivotTable5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Dispute Reason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Sheet3!$B$46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14F-4E9D-B444-E8698817080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14F-4E9D-B444-E8698817080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14F-4E9D-B444-E8698817080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14F-4E9D-B444-E8698817080C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Sheet3!$A$47:$A$51</c:f>
              <c:strCache>
                <c:ptCount val="4"/>
                <c:pt idx="0">
                  <c:v>Damaged</c:v>
                </c:pt>
                <c:pt idx="1">
                  <c:v>Fraud</c:v>
                </c:pt>
                <c:pt idx="2">
                  <c:v>Incorrect Item</c:v>
                </c:pt>
                <c:pt idx="3">
                  <c:v>Not Received</c:v>
                </c:pt>
              </c:strCache>
            </c:strRef>
          </c:cat>
          <c:val>
            <c:numRef>
              <c:f>Sheet3!$B$47:$B$51</c:f>
              <c:numCache>
                <c:formatCode>General</c:formatCode>
                <c:ptCount val="4"/>
                <c:pt idx="0">
                  <c:v>112</c:v>
                </c:pt>
                <c:pt idx="1">
                  <c:v>125</c:v>
                </c:pt>
                <c:pt idx="2">
                  <c:v>124</c:v>
                </c:pt>
                <c:pt idx="3">
                  <c:v>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A6-4EAF-9618-2A321B057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[Disputly dataset.xlsm]Sheet3!PivotTable3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1"/>
              <a:t>Disputes</a:t>
            </a:r>
            <a:r>
              <a:rPr lang="en-US" b="1" i="1" baseline="0"/>
              <a:t> Processing Status by Reason</a:t>
            </a:r>
            <a:r>
              <a:rPr lang="en-US" b="1" i="1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Sheet3!$B$20:$B$21</c:f>
              <c:strCache>
                <c:ptCount val="1"/>
                <c:pt idx="0">
                  <c:v>Approved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Sheet3!$A$22:$A$26</c:f>
              <c:strCache>
                <c:ptCount val="4"/>
                <c:pt idx="0">
                  <c:v>Not Received</c:v>
                </c:pt>
                <c:pt idx="1">
                  <c:v>Fraud</c:v>
                </c:pt>
                <c:pt idx="2">
                  <c:v>Incorrect Item</c:v>
                </c:pt>
                <c:pt idx="3">
                  <c:v>Damaged</c:v>
                </c:pt>
              </c:strCache>
            </c:strRef>
          </c:cat>
          <c:val>
            <c:numRef>
              <c:f>Sheet3!$B$22:$B$26</c:f>
              <c:numCache>
                <c:formatCode>General</c:formatCode>
                <c:ptCount val="4"/>
                <c:pt idx="0">
                  <c:v>50</c:v>
                </c:pt>
                <c:pt idx="1">
                  <c:v>46</c:v>
                </c:pt>
                <c:pt idx="2">
                  <c:v>49</c:v>
                </c:pt>
                <c:pt idx="3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EA-4058-B22F-68062DB7D59C}"/>
            </c:ext>
          </c:extLst>
        </c:ser>
        <c:ser>
          <c:idx val="1"/>
          <c:order val="1"/>
          <c:tx>
            <c:strRef>
              <c:f>Sheet3!$C$20:$C$21</c:f>
              <c:strCache>
                <c:ptCount val="1"/>
                <c:pt idx="0">
                  <c:v>Denied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Sheet3!$A$22:$A$26</c:f>
              <c:strCache>
                <c:ptCount val="4"/>
                <c:pt idx="0">
                  <c:v>Not Received</c:v>
                </c:pt>
                <c:pt idx="1">
                  <c:v>Fraud</c:v>
                </c:pt>
                <c:pt idx="2">
                  <c:v>Incorrect Item</c:v>
                </c:pt>
                <c:pt idx="3">
                  <c:v>Damaged</c:v>
                </c:pt>
              </c:strCache>
            </c:strRef>
          </c:cat>
          <c:val>
            <c:numRef>
              <c:f>Sheet3!$C$22:$C$26</c:f>
              <c:numCache>
                <c:formatCode>General</c:formatCode>
                <c:ptCount val="4"/>
                <c:pt idx="0">
                  <c:v>65</c:v>
                </c:pt>
                <c:pt idx="1">
                  <c:v>57</c:v>
                </c:pt>
                <c:pt idx="2">
                  <c:v>51</c:v>
                </c:pt>
                <c:pt idx="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FEA-4058-B22F-68062DB7D59C}"/>
            </c:ext>
          </c:extLst>
        </c:ser>
        <c:ser>
          <c:idx val="2"/>
          <c:order val="2"/>
          <c:tx>
            <c:strRef>
              <c:f>Sheet3!$D$20:$D$21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Sheet3!$A$22:$A$26</c:f>
              <c:strCache>
                <c:ptCount val="4"/>
                <c:pt idx="0">
                  <c:v>Not Received</c:v>
                </c:pt>
                <c:pt idx="1">
                  <c:v>Fraud</c:v>
                </c:pt>
                <c:pt idx="2">
                  <c:v>Incorrect Item</c:v>
                </c:pt>
                <c:pt idx="3">
                  <c:v>Damaged</c:v>
                </c:pt>
              </c:strCache>
            </c:strRef>
          </c:cat>
          <c:val>
            <c:numRef>
              <c:f>Sheet3!$D$22:$D$26</c:f>
              <c:numCache>
                <c:formatCode>General</c:formatCode>
                <c:ptCount val="4"/>
                <c:pt idx="0">
                  <c:v>24</c:v>
                </c:pt>
                <c:pt idx="1">
                  <c:v>22</c:v>
                </c:pt>
                <c:pt idx="2">
                  <c:v>24</c:v>
                </c:pt>
                <c:pt idx="3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FEA-4058-B22F-68062DB7D5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11211160"/>
        <c:axId val="511212960"/>
      </c:barChart>
      <c:catAx>
        <c:axId val="511211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i="1"/>
                  <a:t>Dispute</a:t>
                </a:r>
                <a:r>
                  <a:rPr lang="en-US" b="1" i="1" baseline="0"/>
                  <a:t> Reason</a:t>
                </a:r>
                <a:r>
                  <a:rPr lang="en-US" b="1" i="1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212960"/>
        <c:crosses val="autoZero"/>
        <c:auto val="1"/>
        <c:lblAlgn val="ctr"/>
        <c:lblOffset val="100"/>
        <c:noMultiLvlLbl val="0"/>
      </c:catAx>
      <c:valAx>
        <c:axId val="511212960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i="1"/>
                  <a:t>Number of Disputes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511211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[Disputly dataset.xlsm]Sheet3!PivotTable1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 Refund Amount and Dispute</a:t>
            </a:r>
            <a:r>
              <a:rPr lang="en-US" b="1" baseline="0"/>
              <a:t> Count by Product Category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Sheet3!$B$3</c:f>
              <c:strCache>
                <c:ptCount val="1"/>
                <c:pt idx="0">
                  <c:v>Sum of Refund_Amount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Sheet3!$A$4:$A$8</c:f>
              <c:strCache>
                <c:ptCount val="4"/>
                <c:pt idx="0">
                  <c:v>Apparel</c:v>
                </c:pt>
                <c:pt idx="1">
                  <c:v>Home</c:v>
                </c:pt>
                <c:pt idx="2">
                  <c:v>Software</c:v>
                </c:pt>
                <c:pt idx="3">
                  <c:v>Electronics</c:v>
                </c:pt>
              </c:strCache>
            </c:strRef>
          </c:cat>
          <c:val>
            <c:numRef>
              <c:f>Sheet3!$B$4:$B$8</c:f>
              <c:numCache>
                <c:formatCode>"$"#,##0.00</c:formatCode>
                <c:ptCount val="4"/>
                <c:pt idx="0">
                  <c:v>83968.630083084106</c:v>
                </c:pt>
                <c:pt idx="1">
                  <c:v>79195.709892272949</c:v>
                </c:pt>
                <c:pt idx="2">
                  <c:v>69793.559814453125</c:v>
                </c:pt>
                <c:pt idx="3">
                  <c:v>67656.439929962158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CA-4A97-AED9-767CD410DAA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11211520"/>
        <c:axId val="511203240"/>
      </c:barChart>
      <c:lineChart>
        <c:grouping val="standard"/>
        <c:varyColors val="0"/>
        <c:ser>
          <c:idx val="1"/>
          <c:order val="1"/>
          <c:tx>
            <c:strRef>
              <c:f>Sheet3!$C$3</c:f>
              <c:strCache>
                <c:ptCount val="1"/>
                <c:pt idx="0">
                  <c:v>Count of Dispute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Sheet3!$A$4:$A$8</c:f>
              <c:strCache>
                <c:ptCount val="4"/>
                <c:pt idx="0">
                  <c:v>Apparel</c:v>
                </c:pt>
                <c:pt idx="1">
                  <c:v>Home</c:v>
                </c:pt>
                <c:pt idx="2">
                  <c:v>Software</c:v>
                </c:pt>
                <c:pt idx="3">
                  <c:v>Electronics</c:v>
                </c:pt>
              </c:strCache>
            </c:strRef>
          </c:cat>
          <c:val>
            <c:numRef>
              <c:f>Sheet3!$C$4:$C$8</c:f>
              <c:numCache>
                <c:formatCode>General</c:formatCode>
                <c:ptCount val="4"/>
                <c:pt idx="0">
                  <c:v>134</c:v>
                </c:pt>
                <c:pt idx="1">
                  <c:v>132</c:v>
                </c:pt>
                <c:pt idx="2">
                  <c:v>119</c:v>
                </c:pt>
                <c:pt idx="3">
                  <c:v>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CA-4A97-AED9-767CD410DAA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4255720"/>
        <c:axId val="654254280"/>
      </c:lineChart>
      <c:catAx>
        <c:axId val="511211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Product</a:t>
                </a:r>
                <a:r>
                  <a:rPr lang="en-US" b="1" baseline="0"/>
                  <a:t> Category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203240"/>
        <c:crosses val="autoZero"/>
        <c:auto val="1"/>
        <c:lblAlgn val="ctr"/>
        <c:lblOffset val="100"/>
        <c:noMultiLvlLbl val="0"/>
      </c:catAx>
      <c:valAx>
        <c:axId val="51120324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Refund Amount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211520"/>
        <c:crosses val="autoZero"/>
        <c:crossBetween val="between"/>
      </c:valAx>
      <c:valAx>
        <c:axId val="65425428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Dispute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255720"/>
        <c:crosses val="max"/>
        <c:crossBetween val="between"/>
      </c:valAx>
      <c:catAx>
        <c:axId val="654255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542542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[Disputly dataset.xlsm]Sheet3!PivotTable4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1"/>
              <a:t>Dispute Volume</a:t>
            </a:r>
            <a:r>
              <a:rPr lang="en-US" b="1" i="1" baseline="0"/>
              <a:t>  by Category</a:t>
            </a:r>
            <a:r>
              <a:rPr lang="en-US" b="1" i="1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Sheet3!$B$32:$B$33</c:f>
              <c:strCache>
                <c:ptCount val="1"/>
                <c:pt idx="0">
                  <c:v>Approved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Sheet3!$A$34:$A$38</c:f>
              <c:strCache>
                <c:ptCount val="4"/>
                <c:pt idx="0">
                  <c:v>Apparel</c:v>
                </c:pt>
                <c:pt idx="1">
                  <c:v>Electronics</c:v>
                </c:pt>
                <c:pt idx="2">
                  <c:v>Home</c:v>
                </c:pt>
                <c:pt idx="3">
                  <c:v>Software</c:v>
                </c:pt>
              </c:strCache>
            </c:strRef>
          </c:cat>
          <c:val>
            <c:numRef>
              <c:f>Sheet3!$B$34:$B$38</c:f>
              <c:numCache>
                <c:formatCode>General</c:formatCode>
                <c:ptCount val="4"/>
                <c:pt idx="0">
                  <c:v>61</c:v>
                </c:pt>
                <c:pt idx="1">
                  <c:v>38</c:v>
                </c:pt>
                <c:pt idx="2">
                  <c:v>52</c:v>
                </c:pt>
                <c:pt idx="3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D-4F8C-B3C0-8C37A88E831E}"/>
            </c:ext>
          </c:extLst>
        </c:ser>
        <c:ser>
          <c:idx val="1"/>
          <c:order val="1"/>
          <c:tx>
            <c:strRef>
              <c:f>Sheet3!$C$32:$C$33</c:f>
              <c:strCache>
                <c:ptCount val="1"/>
                <c:pt idx="0">
                  <c:v>Denied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Sheet3!$A$34:$A$38</c:f>
              <c:strCache>
                <c:ptCount val="4"/>
                <c:pt idx="0">
                  <c:v>Apparel</c:v>
                </c:pt>
                <c:pt idx="1">
                  <c:v>Electronics</c:v>
                </c:pt>
                <c:pt idx="2">
                  <c:v>Home</c:v>
                </c:pt>
                <c:pt idx="3">
                  <c:v>Software</c:v>
                </c:pt>
              </c:strCache>
            </c:strRef>
          </c:cat>
          <c:val>
            <c:numRef>
              <c:f>Sheet3!$C$34:$C$38</c:f>
              <c:numCache>
                <c:formatCode>General</c:formatCode>
                <c:ptCount val="4"/>
                <c:pt idx="0">
                  <c:v>52</c:v>
                </c:pt>
                <c:pt idx="1">
                  <c:v>57</c:v>
                </c:pt>
                <c:pt idx="2">
                  <c:v>50</c:v>
                </c:pt>
                <c:pt idx="3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D-4F8C-B3C0-8C37A88E831E}"/>
            </c:ext>
          </c:extLst>
        </c:ser>
        <c:ser>
          <c:idx val="2"/>
          <c:order val="2"/>
          <c:tx>
            <c:strRef>
              <c:f>Sheet3!$D$32:$D$33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Sheet3!$A$34:$A$38</c:f>
              <c:strCache>
                <c:ptCount val="4"/>
                <c:pt idx="0">
                  <c:v>Apparel</c:v>
                </c:pt>
                <c:pt idx="1">
                  <c:v>Electronics</c:v>
                </c:pt>
                <c:pt idx="2">
                  <c:v>Home</c:v>
                </c:pt>
                <c:pt idx="3">
                  <c:v>Software</c:v>
                </c:pt>
              </c:strCache>
            </c:strRef>
          </c:cat>
          <c:val>
            <c:numRef>
              <c:f>Sheet3!$D$34:$D$38</c:f>
              <c:numCache>
                <c:formatCode>General</c:formatCode>
                <c:ptCount val="4"/>
                <c:pt idx="0">
                  <c:v>21</c:v>
                </c:pt>
                <c:pt idx="1">
                  <c:v>20</c:v>
                </c:pt>
                <c:pt idx="2">
                  <c:v>30</c:v>
                </c:pt>
                <c:pt idx="3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9D-4F8C-B3C0-8C37A88E831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45710408"/>
        <c:axId val="645708608"/>
      </c:barChart>
      <c:catAx>
        <c:axId val="6457104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708608"/>
        <c:crosses val="autoZero"/>
        <c:auto val="1"/>
        <c:lblAlgn val="ctr"/>
        <c:lblOffset val="100"/>
        <c:noMultiLvlLbl val="0"/>
      </c:catAx>
      <c:valAx>
        <c:axId val="645708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Dispute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710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[Disputly dataset.xlsm]Sheet3!PivotTable5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Dispute Reason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202D5BDA-EED1-43D9-B87F-12B6F1A87A33}" type="CATEGORYNAME">
                  <a:rPr lang="en-US" b="1"/>
                  <a:pPr>
                    <a:defRPr sz="1100"/>
                  </a:pPr>
                  <a:t>[CATEGORY NAME]</a:t>
                </a:fld>
                <a:r>
                  <a:rPr lang="en-US" baseline="0"/>
                  <a:t>, </a:t>
                </a:r>
                <a:fld id="{7B4F3F70-794A-4F2D-A0D9-0379F272214A}" type="VALUE">
                  <a:rPr lang="en-US" baseline="0"/>
                  <a:pPr>
                    <a:defRPr sz="1100"/>
                  </a:pPr>
                  <a:t>[VALUE]</a:t>
                </a:fld>
                <a:r>
                  <a:rPr lang="en-US" baseline="0"/>
                  <a:t>, </a:t>
                </a:r>
                <a:fld id="{8F865DAE-3A29-4DA3-85EC-8C041DF25F55}" type="PERCENTAGE">
                  <a:rPr lang="en-US" baseline="0"/>
                  <a:pPr>
                    <a:defRPr sz="1100"/>
                  </a:pPr>
                  <a:t>[PERCENTAGE]</a:t>
                </a:fld>
                <a:endParaRPr lang="en-US" baseline="0"/>
              </a:p>
            </c:rich>
          </c:tx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0"/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9573EFE8-DF29-43F8-A475-2F5C6CEFA0FE}" type="CATEGORYNAME">
                  <a:rPr lang="en-US"/>
                  <a:pPr>
                    <a:defRPr sz="1100"/>
                  </a:pPr>
                  <a:t>[CATEGORY NAME]</a:t>
                </a:fld>
                <a:r>
                  <a:rPr lang="en-US" baseline="0"/>
                  <a:t>, </a:t>
                </a:r>
                <a:fld id="{D11467D6-E7AF-4640-B85B-F9F72A6D87D8}" type="VALUE">
                  <a:rPr lang="en-US" b="1" baseline="0"/>
                  <a:pPr>
                    <a:defRPr sz="1100"/>
                  </a:pPr>
                  <a:t>[VALUE]</a:t>
                </a:fld>
                <a:r>
                  <a:rPr lang="en-US" baseline="0"/>
                  <a:t>, </a:t>
                </a:r>
                <a:fld id="{7C7E7E17-11FE-451D-ACD0-E4138B2DDAE5}" type="PERCENTAGE">
                  <a:rPr lang="en-US" baseline="0"/>
                  <a:pPr>
                    <a:defRPr sz="1100"/>
                  </a:pPr>
                  <a:t>[PERCENTAGE]</a:t>
                </a:fld>
                <a:endParaRPr lang="en-US" baseline="0"/>
              </a:p>
            </c:rich>
          </c:tx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0"/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4018C094-57B0-4F53-A3D7-1A7ACF878186}" type="CATEGORYNAME">
                  <a:rPr lang="en-US" b="1"/>
                  <a:pPr>
                    <a:defRPr sz="1100"/>
                  </a:pPr>
                  <a:t>[CATEGORY NAME]</a:t>
                </a:fld>
                <a:r>
                  <a:rPr lang="en-US" baseline="0"/>
                  <a:t>, </a:t>
                </a:r>
                <a:fld id="{EA17965D-19B0-4AE2-BDC5-0B2FEF21CC70}" type="VALUE">
                  <a:rPr lang="en-US" baseline="0"/>
                  <a:pPr>
                    <a:defRPr sz="1100"/>
                  </a:pPr>
                  <a:t>[VALUE]</a:t>
                </a:fld>
                <a:r>
                  <a:rPr lang="en-US" baseline="0"/>
                  <a:t>, </a:t>
                </a:r>
                <a:fld id="{12E0E31A-F82D-4403-B95B-C688E42EE2A0}" type="PERCENTAGE">
                  <a:rPr lang="en-US" baseline="0"/>
                  <a:pPr>
                    <a:defRPr sz="1100"/>
                  </a:pPr>
                  <a:t>[PERCENTAGE]</a:t>
                </a:fld>
                <a:endParaRPr lang="en-US" baseline="0"/>
              </a:p>
            </c:rich>
          </c:tx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0"/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D56C48A9-588D-450B-8DD2-E8EF3396EF1D}" type="CATEGORYNAME">
                  <a:rPr lang="en-US" b="1"/>
                  <a:pPr>
                    <a:defRPr sz="1100"/>
                  </a:pPr>
                  <a:t>[CATEGORY NAME]</a:t>
                </a:fld>
                <a:r>
                  <a:rPr lang="en-US" baseline="0"/>
                  <a:t>, </a:t>
                </a:r>
                <a:fld id="{A6E03B17-B07F-437A-ADD1-73E9E273BDC4}" type="VALUE">
                  <a:rPr lang="en-US" baseline="0"/>
                  <a:pPr>
                    <a:defRPr sz="1100"/>
                  </a:pPr>
                  <a:t>[VALUE]</a:t>
                </a:fld>
                <a:r>
                  <a:rPr lang="en-US" baseline="0"/>
                  <a:t>, </a:t>
                </a:r>
                <a:fld id="{6FD109F5-76F2-4E49-8794-E8D5494A10EC}" type="PERCENTAGE">
                  <a:rPr lang="en-US" baseline="0"/>
                  <a:pPr>
                    <a:defRPr sz="1100"/>
                  </a:pPr>
                  <a:t>[PERCENTAGE]</a:t>
                </a:fld>
                <a:endParaRPr lang="en-US" baseline="0"/>
              </a:p>
            </c:rich>
          </c:tx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0"/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Sheet3!$B$46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0E3-4B95-905A-82C81128914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0E3-4B95-905A-82C81128914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0E3-4B95-905A-82C81128914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0E3-4B95-905A-82C811289148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202D5BDA-EED1-43D9-B87F-12B6F1A87A33}" type="CATEGORYNAME">
                      <a:rPr lang="en-US" b="1"/>
                      <a:pPr/>
                      <a:t>[CATEGORY NAME]</a:t>
                    </a:fld>
                    <a:r>
                      <a:rPr lang="en-US" baseline="0"/>
                      <a:t>, </a:t>
                    </a:r>
                    <a:fld id="{7B4F3F70-794A-4F2D-A0D9-0379F272214A}" type="VALUE">
                      <a:rPr lang="en-US" baseline="0"/>
                      <a:pPr/>
                      <a:t>[VALUE]</a:t>
                    </a:fld>
                    <a:r>
                      <a:rPr lang="en-US" baseline="0"/>
                      <a:t>, </a:t>
                    </a:r>
                    <a:fld id="{8F865DAE-3A29-4DA3-85EC-8C041DF25F55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D0E3-4B95-905A-82C8112891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573EFE8-DF29-43F8-A475-2F5C6CEFA0FE}" type="CATEGORYNAME">
                      <a:rPr lang="en-US"/>
                      <a:pPr/>
                      <a:t>[CATEGORY NAME]</a:t>
                    </a:fld>
                    <a:r>
                      <a:rPr lang="en-US" baseline="0"/>
                      <a:t>, </a:t>
                    </a:r>
                    <a:fld id="{D11467D6-E7AF-4640-B85B-F9F72A6D87D8}" type="VALUE">
                      <a:rPr lang="en-US" b="1" baseline="0"/>
                      <a:pPr/>
                      <a:t>[VALUE]</a:t>
                    </a:fld>
                    <a:r>
                      <a:rPr lang="en-US" baseline="0"/>
                      <a:t>, </a:t>
                    </a:r>
                    <a:fld id="{7C7E7E17-11FE-451D-ACD0-E4138B2DDAE5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D0E3-4B95-905A-82C8112891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018C094-57B0-4F53-A3D7-1A7ACF878186}" type="CATEGORYNAME">
                      <a:rPr lang="en-US" b="1"/>
                      <a:pPr/>
                      <a:t>[CATEGORY NAME]</a:t>
                    </a:fld>
                    <a:r>
                      <a:rPr lang="en-US" baseline="0"/>
                      <a:t>, </a:t>
                    </a:r>
                    <a:fld id="{EA17965D-19B0-4AE2-BDC5-0B2FEF21CC70}" type="VALUE">
                      <a:rPr lang="en-US" baseline="0"/>
                      <a:pPr/>
                      <a:t>[VALUE]</a:t>
                    </a:fld>
                    <a:r>
                      <a:rPr lang="en-US" baseline="0"/>
                      <a:t>, </a:t>
                    </a:r>
                    <a:fld id="{12E0E31A-F82D-4403-B95B-C688E42EE2A0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D0E3-4B95-905A-82C8112891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56C48A9-588D-450B-8DD2-E8EF3396EF1D}" type="CATEGORYNAME">
                      <a:rPr lang="en-US" b="1"/>
                      <a:pPr/>
                      <a:t>[CATEGORY NAME]</a:t>
                    </a:fld>
                    <a:r>
                      <a:rPr lang="en-US" baseline="0"/>
                      <a:t>, </a:t>
                    </a:r>
                    <a:fld id="{A6E03B17-B07F-437A-ADD1-73E9E273BDC4}" type="VALUE">
                      <a:rPr lang="en-US" baseline="0"/>
                      <a:pPr/>
                      <a:t>[VALUE]</a:t>
                    </a:fld>
                    <a:r>
                      <a:rPr lang="en-US" baseline="0"/>
                      <a:t>, </a:t>
                    </a:r>
                    <a:fld id="{6FD109F5-76F2-4E49-8794-E8D5494A10EC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D0E3-4B95-905A-82C81128914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Sheet3!$A$47:$A$51</c:f>
              <c:strCache>
                <c:ptCount val="4"/>
                <c:pt idx="0">
                  <c:v>Damaged</c:v>
                </c:pt>
                <c:pt idx="1">
                  <c:v>Fraud</c:v>
                </c:pt>
                <c:pt idx="2">
                  <c:v>Incorrect Item</c:v>
                </c:pt>
                <c:pt idx="3">
                  <c:v>Not Received</c:v>
                </c:pt>
              </c:strCache>
            </c:strRef>
          </c:cat>
          <c:val>
            <c:numRef>
              <c:f>Sheet3!$B$47:$B$51</c:f>
              <c:numCache>
                <c:formatCode>General</c:formatCode>
                <c:ptCount val="4"/>
                <c:pt idx="0">
                  <c:v>112</c:v>
                </c:pt>
                <c:pt idx="1">
                  <c:v>125</c:v>
                </c:pt>
                <c:pt idx="2">
                  <c:v>124</c:v>
                </c:pt>
                <c:pt idx="3">
                  <c:v>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0E3-4B95-905A-82C811289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13" Type="http://schemas.openxmlformats.org/officeDocument/2006/relationships/image" Target="../media/image9.png"/><Relationship Id="rId18" Type="http://schemas.openxmlformats.org/officeDocument/2006/relationships/image" Target="../media/image14.svg"/><Relationship Id="rId3" Type="http://schemas.openxmlformats.org/officeDocument/2006/relationships/chart" Target="../charts/chart7.xml"/><Relationship Id="rId7" Type="http://schemas.openxmlformats.org/officeDocument/2006/relationships/image" Target="../media/image3.png"/><Relationship Id="rId12" Type="http://schemas.openxmlformats.org/officeDocument/2006/relationships/image" Target="../media/image8.svg"/><Relationship Id="rId17" Type="http://schemas.openxmlformats.org/officeDocument/2006/relationships/image" Target="../media/image13.png"/><Relationship Id="rId2" Type="http://schemas.openxmlformats.org/officeDocument/2006/relationships/chart" Target="../charts/chart6.xml"/><Relationship Id="rId16" Type="http://schemas.openxmlformats.org/officeDocument/2006/relationships/image" Target="../media/image12.svg"/><Relationship Id="rId1" Type="http://schemas.openxmlformats.org/officeDocument/2006/relationships/chart" Target="../charts/chart5.xml"/><Relationship Id="rId6" Type="http://schemas.openxmlformats.org/officeDocument/2006/relationships/image" Target="../media/image2.svg"/><Relationship Id="rId11" Type="http://schemas.openxmlformats.org/officeDocument/2006/relationships/image" Target="../media/image7.png"/><Relationship Id="rId5" Type="http://schemas.openxmlformats.org/officeDocument/2006/relationships/image" Target="../media/image1.png"/><Relationship Id="rId15" Type="http://schemas.openxmlformats.org/officeDocument/2006/relationships/image" Target="../media/image11.png"/><Relationship Id="rId10" Type="http://schemas.openxmlformats.org/officeDocument/2006/relationships/image" Target="../media/image6.svg"/><Relationship Id="rId4" Type="http://schemas.openxmlformats.org/officeDocument/2006/relationships/chart" Target="../charts/chart8.xml"/><Relationship Id="rId9" Type="http://schemas.openxmlformats.org/officeDocument/2006/relationships/image" Target="../media/image5.png"/><Relationship Id="rId14" Type="http://schemas.openxmlformats.org/officeDocument/2006/relationships/image" Target="../media/image1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</xdr:colOff>
      <xdr:row>23</xdr:row>
      <xdr:rowOff>52387</xdr:rowOff>
    </xdr:from>
    <xdr:to>
      <xdr:col>20</xdr:col>
      <xdr:colOff>323850</xdr:colOff>
      <xdr:row>37</xdr:row>
      <xdr:rowOff>128587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5B4942-3678-8A36-2F38-2D83FDB890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476250</xdr:colOff>
      <xdr:row>1</xdr:row>
      <xdr:rowOff>166687</xdr:rowOff>
    </xdr:from>
    <xdr:to>
      <xdr:col>12</xdr:col>
      <xdr:colOff>28575</xdr:colOff>
      <xdr:row>16</xdr:row>
      <xdr:rowOff>52387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478A3F0-00BF-1467-5D2C-0B34312707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304800</xdr:colOff>
      <xdr:row>31</xdr:row>
      <xdr:rowOff>14287</xdr:rowOff>
    </xdr:from>
    <xdr:to>
      <xdr:col>12</xdr:col>
      <xdr:colOff>542925</xdr:colOff>
      <xdr:row>45</xdr:row>
      <xdr:rowOff>90487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E58B6BF-F7F0-9876-AE13-60E39013DF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819150</xdr:colOff>
      <xdr:row>45</xdr:row>
      <xdr:rowOff>166687</xdr:rowOff>
    </xdr:from>
    <xdr:to>
      <xdr:col>9</xdr:col>
      <xdr:colOff>352425</xdr:colOff>
      <xdr:row>60</xdr:row>
      <xdr:rowOff>52387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B7EAD2C-C4FC-A6DD-1CEB-B9B78A0191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138479</xdr:colOff>
      <xdr:row>5</xdr:row>
      <xdr:rowOff>160459</xdr:rowOff>
    </xdr:from>
    <xdr:to>
      <xdr:col>16</xdr:col>
      <xdr:colOff>402981</xdr:colOff>
      <xdr:row>34</xdr:row>
      <xdr:rowOff>46159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4F7A439C-BCD9-9E79-9C37-A99A3CCD9D21}"/>
            </a:ext>
          </a:extLst>
        </xdr:cNvPr>
        <xdr:cNvSpPr/>
      </xdr:nvSpPr>
      <xdr:spPr>
        <a:xfrm>
          <a:off x="1970210" y="1137382"/>
          <a:ext cx="8202002" cy="5551854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520332</xdr:colOff>
      <xdr:row>6</xdr:row>
      <xdr:rowOff>85480</xdr:rowOff>
    </xdr:from>
    <xdr:to>
      <xdr:col>16</xdr:col>
      <xdr:colOff>232019</xdr:colOff>
      <xdr:row>18</xdr:row>
      <xdr:rowOff>48846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9221BD-8235-4F4D-B588-C2A179E834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5</xdr:row>
      <xdr:rowOff>133350</xdr:rowOff>
    </xdr:from>
    <xdr:to>
      <xdr:col>2</xdr:col>
      <xdr:colOff>552450</xdr:colOff>
      <xdr:row>34</xdr:row>
      <xdr:rowOff>9525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B049A8B3-071F-F518-8C90-84841AADA1CD}"/>
            </a:ext>
          </a:extLst>
        </xdr:cNvPr>
        <xdr:cNvSpPr/>
      </xdr:nvSpPr>
      <xdr:spPr>
        <a:xfrm>
          <a:off x="171450" y="1085850"/>
          <a:ext cx="1600200" cy="54006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191966</xdr:colOff>
      <xdr:row>6</xdr:row>
      <xdr:rowOff>9525</xdr:rowOff>
    </xdr:from>
    <xdr:to>
      <xdr:col>2</xdr:col>
      <xdr:colOff>477716</xdr:colOff>
      <xdr:row>11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ispute_Date">
              <a:extLst>
                <a:ext uri="{FF2B5EF4-FFF2-40B4-BE49-F238E27FC236}">
                  <a16:creationId xmlns:a16="http://schemas.microsoft.com/office/drawing/2014/main" id="{1A78B9F4-04F5-1CBA-35F1-7FDF104B3D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ispute_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1966" y="1181833"/>
              <a:ext cx="1506904" cy="113884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0</xdr:col>
      <xdr:colOff>92808</xdr:colOff>
      <xdr:row>0</xdr:row>
      <xdr:rowOff>70583</xdr:rowOff>
    </xdr:from>
    <xdr:to>
      <xdr:col>19</xdr:col>
      <xdr:colOff>354134</xdr:colOff>
      <xdr:row>5</xdr:row>
      <xdr:rowOff>18073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CC7918CF-FE31-B235-27E4-409EC2CD8EC3}"/>
            </a:ext>
          </a:extLst>
        </xdr:cNvPr>
        <xdr:cNvSpPr txBox="1"/>
      </xdr:nvSpPr>
      <xdr:spPr>
        <a:xfrm>
          <a:off x="92808" y="70583"/>
          <a:ext cx="11862288" cy="924413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200" b="1" i="1">
              <a:solidFill>
                <a:schemeClr val="tx1">
                  <a:lumMod val="95000"/>
                  <a:lumOff val="5000"/>
                </a:schemeClr>
              </a:solidFill>
              <a:latin typeface="Aptos Narrow" panose="020B0004020202020204" pitchFamily="34" charset="0"/>
            </a:rPr>
            <a:t>DISPUTE RESOLUTION PERFORMANCE &amp; RISKS INSIGHTS</a:t>
          </a:r>
        </a:p>
      </xdr:txBody>
    </xdr:sp>
    <xdr:clientData/>
  </xdr:twoCellAnchor>
  <xdr:twoCellAnchor>
    <xdr:from>
      <xdr:col>0</xdr:col>
      <xdr:colOff>219806</xdr:colOff>
      <xdr:row>18</xdr:row>
      <xdr:rowOff>1</xdr:rowOff>
    </xdr:from>
    <xdr:to>
      <xdr:col>2</xdr:col>
      <xdr:colOff>500672</xdr:colOff>
      <xdr:row>22</xdr:row>
      <xdr:rowOff>36634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449E0534-F5C0-6C30-443D-81C2BB7E8131}"/>
            </a:ext>
          </a:extLst>
        </xdr:cNvPr>
        <xdr:cNvSpPr txBox="1"/>
      </xdr:nvSpPr>
      <xdr:spPr>
        <a:xfrm>
          <a:off x="219806" y="3516924"/>
          <a:ext cx="1502020" cy="81817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50" b="1"/>
            <a:t>AVERAGE RESOLUTION</a:t>
          </a:r>
          <a:r>
            <a:rPr lang="en-US" sz="1050" b="1" baseline="0"/>
            <a:t> TIME</a:t>
          </a:r>
        </a:p>
        <a:p>
          <a:pPr algn="ctr"/>
          <a:r>
            <a:rPr lang="en-US" sz="1800" b="1" baseline="0"/>
            <a:t>4 Days</a:t>
          </a:r>
          <a:endParaRPr lang="en-US" sz="1200" b="1"/>
        </a:p>
      </xdr:txBody>
    </xdr:sp>
    <xdr:clientData/>
  </xdr:twoCellAnchor>
  <xdr:twoCellAnchor>
    <xdr:from>
      <xdr:col>0</xdr:col>
      <xdr:colOff>195386</xdr:colOff>
      <xdr:row>12</xdr:row>
      <xdr:rowOff>134328</xdr:rowOff>
    </xdr:from>
    <xdr:to>
      <xdr:col>2</xdr:col>
      <xdr:colOff>500673</xdr:colOff>
      <xdr:row>16</xdr:row>
      <xdr:rowOff>183173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2B2B0A58-A1B4-3559-38EB-E38198BE7C82}"/>
            </a:ext>
          </a:extLst>
        </xdr:cNvPr>
        <xdr:cNvSpPr txBox="1"/>
      </xdr:nvSpPr>
      <xdr:spPr>
        <a:xfrm>
          <a:off x="195386" y="2478943"/>
          <a:ext cx="1526441" cy="83038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 b="1"/>
            <a:t>TOTAL NO. OF DISPUTES</a:t>
          </a:r>
        </a:p>
        <a:p>
          <a:pPr algn="ctr"/>
          <a:r>
            <a:rPr lang="en-US" sz="1800" b="1"/>
            <a:t>500</a:t>
          </a:r>
        </a:p>
      </xdr:txBody>
    </xdr:sp>
    <xdr:clientData/>
  </xdr:twoCellAnchor>
  <xdr:twoCellAnchor>
    <xdr:from>
      <xdr:col>0</xdr:col>
      <xdr:colOff>219807</xdr:colOff>
      <xdr:row>28</xdr:row>
      <xdr:rowOff>183174</xdr:rowOff>
    </xdr:from>
    <xdr:to>
      <xdr:col>2</xdr:col>
      <xdr:colOff>488461</xdr:colOff>
      <xdr:row>33</xdr:row>
      <xdr:rowOff>24423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187C1CB6-5408-2A3A-C5AF-39FBE2900B54}"/>
            </a:ext>
          </a:extLst>
        </xdr:cNvPr>
        <xdr:cNvSpPr txBox="1"/>
      </xdr:nvSpPr>
      <xdr:spPr>
        <a:xfrm>
          <a:off x="219807" y="5653943"/>
          <a:ext cx="1489808" cy="81817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 b="1"/>
            <a:t>AVERAGE</a:t>
          </a:r>
          <a:r>
            <a:rPr lang="en-US" sz="1200" b="1" baseline="0"/>
            <a:t> </a:t>
          </a:r>
          <a:r>
            <a:rPr lang="en-US" sz="1200" b="1"/>
            <a:t>COST PER DISPUTE</a:t>
          </a:r>
          <a:endParaRPr lang="en-US" sz="1100" b="1"/>
        </a:p>
        <a:p>
          <a:pPr algn="ctr"/>
          <a:r>
            <a:rPr lang="en-US" sz="16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$601.23</a:t>
          </a:r>
          <a:r>
            <a:rPr lang="en-US" sz="1600" b="1">
              <a:effectLst/>
            </a:rPr>
            <a:t> </a:t>
          </a:r>
          <a:endParaRPr lang="en-US" sz="1600" b="1"/>
        </a:p>
      </xdr:txBody>
    </xdr:sp>
    <xdr:clientData/>
  </xdr:twoCellAnchor>
  <xdr:twoCellAnchor>
    <xdr:from>
      <xdr:col>0</xdr:col>
      <xdr:colOff>207596</xdr:colOff>
      <xdr:row>23</xdr:row>
      <xdr:rowOff>61059</xdr:rowOff>
    </xdr:from>
    <xdr:to>
      <xdr:col>2</xdr:col>
      <xdr:colOff>500673</xdr:colOff>
      <xdr:row>27</xdr:row>
      <xdr:rowOff>146540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D5C3A0F0-F76B-C8BF-2CAD-612C1F86BF53}"/>
            </a:ext>
          </a:extLst>
        </xdr:cNvPr>
        <xdr:cNvSpPr txBox="1"/>
      </xdr:nvSpPr>
      <xdr:spPr>
        <a:xfrm>
          <a:off x="207596" y="4554905"/>
          <a:ext cx="1514231" cy="8670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 b="1"/>
            <a:t>DISPUTE VALUE AT RISK</a:t>
          </a:r>
          <a:endParaRPr lang="en-US" sz="1100" i="1"/>
        </a:p>
        <a:p>
          <a:pPr algn="ctr"/>
          <a:r>
            <a:rPr lang="en-US" sz="1600" b="1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$49,340</a:t>
          </a:r>
          <a:endParaRPr lang="en-US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309442</xdr:colOff>
      <xdr:row>19</xdr:row>
      <xdr:rowOff>24423</xdr:rowOff>
    </xdr:from>
    <xdr:to>
      <xdr:col>10</xdr:col>
      <xdr:colOff>415193</xdr:colOff>
      <xdr:row>33</xdr:row>
      <xdr:rowOff>58371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3BE834C-0519-486D-9D42-E8DDF8FC95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321650</xdr:colOff>
      <xdr:row>6</xdr:row>
      <xdr:rowOff>85481</xdr:rowOff>
    </xdr:from>
    <xdr:to>
      <xdr:col>9</xdr:col>
      <xdr:colOff>293076</xdr:colOff>
      <xdr:row>18</xdr:row>
      <xdr:rowOff>48847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163D7FB-44B6-4C73-871E-F9F1D877C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19</xdr:row>
      <xdr:rowOff>24423</xdr:rowOff>
    </xdr:from>
    <xdr:to>
      <xdr:col>16</xdr:col>
      <xdr:colOff>232019</xdr:colOff>
      <xdr:row>33</xdr:row>
      <xdr:rowOff>48847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6210D4A8-ECCF-49DE-BA5D-05ADE9652C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549519</xdr:colOff>
      <xdr:row>5</xdr:row>
      <xdr:rowOff>134327</xdr:rowOff>
    </xdr:from>
    <xdr:to>
      <xdr:col>19</xdr:col>
      <xdr:colOff>341923</xdr:colOff>
      <xdr:row>33</xdr:row>
      <xdr:rowOff>183173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23EFCBE6-EDDF-79BE-231B-5B686344D331}"/>
            </a:ext>
          </a:extLst>
        </xdr:cNvPr>
        <xdr:cNvSpPr/>
      </xdr:nvSpPr>
      <xdr:spPr>
        <a:xfrm>
          <a:off x="10318750" y="1111250"/>
          <a:ext cx="1624135" cy="551961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12212</xdr:colOff>
      <xdr:row>6</xdr:row>
      <xdr:rowOff>183173</xdr:rowOff>
    </xdr:from>
    <xdr:to>
      <xdr:col>19</xdr:col>
      <xdr:colOff>293077</xdr:colOff>
      <xdr:row>11</xdr:row>
      <xdr:rowOff>158750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502B99A-9D98-BE58-FBD4-4567E65DF323}"/>
            </a:ext>
          </a:extLst>
        </xdr:cNvPr>
        <xdr:cNvSpPr txBox="1"/>
      </xdr:nvSpPr>
      <xdr:spPr>
        <a:xfrm>
          <a:off x="10392020" y="1355481"/>
          <a:ext cx="1502019" cy="952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 b="1"/>
            <a:t>BACKLOG PERCENTAGE</a:t>
          </a:r>
        </a:p>
        <a:p>
          <a:pPr algn="ctr"/>
          <a:r>
            <a:rPr lang="en-US" sz="2800" b="1"/>
            <a:t>17.4%</a:t>
          </a:r>
        </a:p>
      </xdr:txBody>
    </xdr:sp>
    <xdr:clientData/>
  </xdr:twoCellAnchor>
  <xdr:twoCellAnchor>
    <xdr:from>
      <xdr:col>16</xdr:col>
      <xdr:colOff>586154</xdr:colOff>
      <xdr:row>15</xdr:row>
      <xdr:rowOff>170961</xdr:rowOff>
    </xdr:from>
    <xdr:to>
      <xdr:col>19</xdr:col>
      <xdr:colOff>293076</xdr:colOff>
      <xdr:row>20</xdr:row>
      <xdr:rowOff>183173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FE705173-B2F9-7EBB-F3EF-405B763D0276}"/>
            </a:ext>
          </a:extLst>
        </xdr:cNvPr>
        <xdr:cNvSpPr txBox="1"/>
      </xdr:nvSpPr>
      <xdr:spPr>
        <a:xfrm>
          <a:off x="10355385" y="3101730"/>
          <a:ext cx="1538653" cy="9891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 b="1"/>
            <a:t>DISPUTE </a:t>
          </a:r>
        </a:p>
        <a:p>
          <a:pPr algn="ctr"/>
          <a:r>
            <a:rPr lang="en-US" sz="1200" b="1"/>
            <a:t>WIN RATE</a:t>
          </a:r>
          <a:endParaRPr lang="en-US" sz="1100"/>
        </a:p>
        <a:p>
          <a:pPr algn="ctr"/>
          <a:r>
            <a:rPr lang="en-US" sz="2800" b="1"/>
            <a:t>51%</a:t>
          </a:r>
        </a:p>
      </xdr:txBody>
    </xdr:sp>
    <xdr:clientData/>
  </xdr:twoCellAnchor>
  <xdr:twoCellAnchor>
    <xdr:from>
      <xdr:col>17</xdr:col>
      <xdr:colOff>12212</xdr:colOff>
      <xdr:row>25</xdr:row>
      <xdr:rowOff>36635</xdr:rowOff>
    </xdr:from>
    <xdr:to>
      <xdr:col>19</xdr:col>
      <xdr:colOff>280865</xdr:colOff>
      <xdr:row>31</xdr:row>
      <xdr:rowOff>12212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11637530-0AE6-A8C0-7467-81C165E66488}"/>
            </a:ext>
          </a:extLst>
        </xdr:cNvPr>
        <xdr:cNvSpPr txBox="1"/>
      </xdr:nvSpPr>
      <xdr:spPr>
        <a:xfrm>
          <a:off x="10392020" y="4921250"/>
          <a:ext cx="1489807" cy="11478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 b="1"/>
            <a:t>RESOLUTION EFFICIENCY</a:t>
          </a:r>
        </a:p>
        <a:p>
          <a:endParaRPr lang="en-US" sz="1100"/>
        </a:p>
        <a:p>
          <a:pPr algn="ctr"/>
          <a:r>
            <a:rPr lang="en-US" sz="2800" b="1">
              <a:solidFill>
                <a:srgbClr val="00B050"/>
              </a:solidFill>
            </a:rPr>
            <a:t>83%</a:t>
          </a:r>
        </a:p>
      </xdr:txBody>
    </xdr:sp>
    <xdr:clientData/>
  </xdr:twoCellAnchor>
  <xdr:twoCellAnchor editAs="oneCell">
    <xdr:from>
      <xdr:col>2</xdr:col>
      <xdr:colOff>109904</xdr:colOff>
      <xdr:row>19</xdr:row>
      <xdr:rowOff>169496</xdr:rowOff>
    </xdr:from>
    <xdr:to>
      <xdr:col>2</xdr:col>
      <xdr:colOff>525096</xdr:colOff>
      <xdr:row>21</xdr:row>
      <xdr:rowOff>193919</xdr:rowOff>
    </xdr:to>
    <xdr:pic>
      <xdr:nvPicPr>
        <xdr:cNvPr id="19" name="Graphic 18" descr="Stopwatch with solid fill">
          <a:extLst>
            <a:ext uri="{FF2B5EF4-FFF2-40B4-BE49-F238E27FC236}">
              <a16:creationId xmlns:a16="http://schemas.microsoft.com/office/drawing/2014/main" id="{2B265894-D6EB-16FD-5077-31AD37E26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058" y="3881804"/>
          <a:ext cx="415192" cy="415192"/>
        </a:xfrm>
        <a:prstGeom prst="rect">
          <a:avLst/>
        </a:prstGeom>
      </xdr:spPr>
    </xdr:pic>
    <xdr:clientData/>
  </xdr:twoCellAnchor>
  <xdr:twoCellAnchor editAs="oneCell">
    <xdr:from>
      <xdr:col>18</xdr:col>
      <xdr:colOff>560299</xdr:colOff>
      <xdr:row>8</xdr:row>
      <xdr:rowOff>73268</xdr:rowOff>
    </xdr:from>
    <xdr:to>
      <xdr:col>19</xdr:col>
      <xdr:colOff>308103</xdr:colOff>
      <xdr:row>10</xdr:row>
      <xdr:rowOff>24422</xdr:rowOff>
    </xdr:to>
    <xdr:pic>
      <xdr:nvPicPr>
        <xdr:cNvPr id="21" name="Graphic 20" descr="Hourglass Finished with solid fill">
          <a:extLst>
            <a:ext uri="{FF2B5EF4-FFF2-40B4-BE49-F238E27FC236}">
              <a16:creationId xmlns:a16="http://schemas.microsoft.com/office/drawing/2014/main" id="{6DC07C7A-17D4-9BA7-9896-5F4C04844C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2672385">
          <a:off x="11550684" y="1636345"/>
          <a:ext cx="358381" cy="341923"/>
        </a:xfrm>
        <a:prstGeom prst="rect">
          <a:avLst/>
        </a:prstGeom>
      </xdr:spPr>
    </xdr:pic>
    <xdr:clientData/>
  </xdr:twoCellAnchor>
  <xdr:twoCellAnchor editAs="oneCell">
    <xdr:from>
      <xdr:col>2</xdr:col>
      <xdr:colOff>116979</xdr:colOff>
      <xdr:row>31</xdr:row>
      <xdr:rowOff>54090</xdr:rowOff>
    </xdr:from>
    <xdr:to>
      <xdr:col>2</xdr:col>
      <xdr:colOff>492459</xdr:colOff>
      <xdr:row>33</xdr:row>
      <xdr:rowOff>38801</xdr:rowOff>
    </xdr:to>
    <xdr:pic>
      <xdr:nvPicPr>
        <xdr:cNvPr id="23" name="Graphic 22" descr="Money with solid fill">
          <a:extLst>
            <a:ext uri="{FF2B5EF4-FFF2-40B4-BE49-F238E27FC236}">
              <a16:creationId xmlns:a16="http://schemas.microsoft.com/office/drawing/2014/main" id="{7E208126-0918-803A-FD4D-508490FB05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662982">
          <a:off x="1338133" y="6111013"/>
          <a:ext cx="375480" cy="375480"/>
        </a:xfrm>
        <a:prstGeom prst="rect">
          <a:avLst/>
        </a:prstGeom>
      </xdr:spPr>
    </xdr:pic>
    <xdr:clientData/>
  </xdr:twoCellAnchor>
  <xdr:twoCellAnchor editAs="oneCell">
    <xdr:from>
      <xdr:col>16</xdr:col>
      <xdr:colOff>598012</xdr:colOff>
      <xdr:row>17</xdr:row>
      <xdr:rowOff>98882</xdr:rowOff>
    </xdr:from>
    <xdr:to>
      <xdr:col>17</xdr:col>
      <xdr:colOff>391958</xdr:colOff>
      <xdr:row>19</xdr:row>
      <xdr:rowOff>112635</xdr:rowOff>
    </xdr:to>
    <xdr:pic>
      <xdr:nvPicPr>
        <xdr:cNvPr id="25" name="Graphic 24" descr="Trophy with solid fill">
          <a:extLst>
            <a:ext uri="{FF2B5EF4-FFF2-40B4-BE49-F238E27FC236}">
              <a16:creationId xmlns:a16="http://schemas.microsoft.com/office/drawing/2014/main" id="{8D2059D2-E47D-B075-D869-BEC394527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662982">
          <a:off x="10367243" y="3420420"/>
          <a:ext cx="404523" cy="404523"/>
        </a:xfrm>
        <a:prstGeom prst="rect">
          <a:avLst/>
        </a:prstGeom>
      </xdr:spPr>
    </xdr:pic>
    <xdr:clientData/>
  </xdr:twoCellAnchor>
  <xdr:twoCellAnchor editAs="oneCell">
    <xdr:from>
      <xdr:col>0</xdr:col>
      <xdr:colOff>190603</xdr:colOff>
      <xdr:row>24</xdr:row>
      <xdr:rowOff>83794</xdr:rowOff>
    </xdr:from>
    <xdr:to>
      <xdr:col>0</xdr:col>
      <xdr:colOff>553918</xdr:colOff>
      <xdr:row>26</xdr:row>
      <xdr:rowOff>56340</xdr:rowOff>
    </xdr:to>
    <xdr:pic>
      <xdr:nvPicPr>
        <xdr:cNvPr id="27" name="Graphic 26" descr="Warning with solid fill">
          <a:extLst>
            <a:ext uri="{FF2B5EF4-FFF2-40B4-BE49-F238E27FC236}">
              <a16:creationId xmlns:a16="http://schemas.microsoft.com/office/drawing/2014/main" id="{6A99DFBA-F404-9AE5-C30B-825C98831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 rot="20063571">
          <a:off x="190603" y="4773025"/>
          <a:ext cx="363315" cy="363315"/>
        </a:xfrm>
        <a:prstGeom prst="rect">
          <a:avLst/>
        </a:prstGeom>
      </xdr:spPr>
    </xdr:pic>
    <xdr:clientData/>
  </xdr:twoCellAnchor>
  <xdr:twoCellAnchor>
    <xdr:from>
      <xdr:col>0</xdr:col>
      <xdr:colOff>170962</xdr:colOff>
      <xdr:row>34</xdr:row>
      <xdr:rowOff>97692</xdr:rowOff>
    </xdr:from>
    <xdr:to>
      <xdr:col>19</xdr:col>
      <xdr:colOff>341923</xdr:colOff>
      <xdr:row>41</xdr:row>
      <xdr:rowOff>36635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B380F7CC-A3D1-0F93-BC6E-F0BD6A55C147}"/>
            </a:ext>
          </a:extLst>
        </xdr:cNvPr>
        <xdr:cNvSpPr txBox="1"/>
      </xdr:nvSpPr>
      <xdr:spPr>
        <a:xfrm>
          <a:off x="170962" y="6740769"/>
          <a:ext cx="11771923" cy="130663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 b="1">
              <a:latin typeface="Aptos" panose="020B0004020202020204" pitchFamily="34" charset="0"/>
            </a:rPr>
            <a:t>KEY INSIGHTS</a:t>
          </a:r>
          <a:r>
            <a:rPr lang="en-US" sz="2000" b="1" baseline="0">
              <a:latin typeface="Aptos" panose="020B0004020202020204" pitchFamily="34" charset="0"/>
            </a:rPr>
            <a:t> AND ACTIONS</a:t>
          </a:r>
        </a:p>
        <a:p>
          <a:pPr lvl="1"/>
          <a:r>
            <a:rPr lang="en-US" sz="1800" baseline="0"/>
            <a:t>Fraud disputes drive 25% percent of total volume -- </a:t>
          </a:r>
          <a:r>
            <a:rPr lang="en-US" sz="1800" b="1" baseline="0"/>
            <a:t>Tighten Verification.</a:t>
          </a:r>
        </a:p>
        <a:p>
          <a:pPr lvl="1"/>
          <a:r>
            <a:rPr lang="en-US" sz="1800" baseline="0"/>
            <a:t>Apparel &amp; Home generate the highest refunds -- </a:t>
          </a:r>
          <a:r>
            <a:rPr lang="en-US" sz="1800" b="1" baseline="0"/>
            <a:t>Review product quality.</a:t>
          </a:r>
        </a:p>
        <a:p>
          <a:pPr lvl="1"/>
          <a:r>
            <a:rPr lang="en-US" sz="1800" baseline="0"/>
            <a:t>17.4% Baclog indicates process bottlenecks -- </a:t>
          </a:r>
          <a:r>
            <a:rPr lang="en-US" sz="1800" b="1" baseline="0"/>
            <a:t>Prioritise "Not Received" cases.</a:t>
          </a:r>
        </a:p>
        <a:p>
          <a:endParaRPr lang="en-US" sz="1100"/>
        </a:p>
      </xdr:txBody>
    </xdr:sp>
    <xdr:clientData/>
  </xdr:twoCellAnchor>
  <xdr:twoCellAnchor editAs="oneCell">
    <xdr:from>
      <xdr:col>0</xdr:col>
      <xdr:colOff>402981</xdr:colOff>
      <xdr:row>37</xdr:row>
      <xdr:rowOff>157284</xdr:rowOff>
    </xdr:from>
    <xdr:to>
      <xdr:col>1</xdr:col>
      <xdr:colOff>61058</xdr:colOff>
      <xdr:row>39</xdr:row>
      <xdr:rowOff>35169</xdr:rowOff>
    </xdr:to>
    <xdr:pic>
      <xdr:nvPicPr>
        <xdr:cNvPr id="22" name="Graphic 21" descr="Bullseye with solid fill">
          <a:extLst>
            <a:ext uri="{FF2B5EF4-FFF2-40B4-BE49-F238E27FC236}">
              <a16:creationId xmlns:a16="http://schemas.microsoft.com/office/drawing/2014/main" id="{292D16FF-E88B-09FB-2F99-5A7959C12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02981" y="7386515"/>
          <a:ext cx="268654" cy="268654"/>
        </a:xfrm>
        <a:prstGeom prst="rect">
          <a:avLst/>
        </a:prstGeom>
      </xdr:spPr>
    </xdr:pic>
    <xdr:clientData/>
  </xdr:twoCellAnchor>
  <xdr:twoCellAnchor editAs="oneCell">
    <xdr:from>
      <xdr:col>0</xdr:col>
      <xdr:colOff>388772</xdr:colOff>
      <xdr:row>39</xdr:row>
      <xdr:rowOff>48847</xdr:rowOff>
    </xdr:from>
    <xdr:to>
      <xdr:col>1</xdr:col>
      <xdr:colOff>24421</xdr:colOff>
      <xdr:row>40</xdr:row>
      <xdr:rowOff>99688</xdr:rowOff>
    </xdr:to>
    <xdr:pic>
      <xdr:nvPicPr>
        <xdr:cNvPr id="26" name="Graphic 25" descr="Bar graph with downward trend with solid fill">
          <a:extLst>
            <a:ext uri="{FF2B5EF4-FFF2-40B4-BE49-F238E27FC236}">
              <a16:creationId xmlns:a16="http://schemas.microsoft.com/office/drawing/2014/main" id="{2A1D3DA3-2510-32A5-BA39-49B9F94C60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388772" y="7668847"/>
          <a:ext cx="246226" cy="246226"/>
        </a:xfrm>
        <a:prstGeom prst="rect">
          <a:avLst/>
        </a:prstGeom>
      </xdr:spPr>
    </xdr:pic>
    <xdr:clientData/>
  </xdr:twoCellAnchor>
  <xdr:twoCellAnchor editAs="oneCell">
    <xdr:from>
      <xdr:col>0</xdr:col>
      <xdr:colOff>439615</xdr:colOff>
      <xdr:row>36</xdr:row>
      <xdr:rowOff>109904</xdr:rowOff>
    </xdr:from>
    <xdr:to>
      <xdr:col>1</xdr:col>
      <xdr:colOff>21392</xdr:colOff>
      <xdr:row>37</xdr:row>
      <xdr:rowOff>106873</xdr:rowOff>
    </xdr:to>
    <xdr:pic>
      <xdr:nvPicPr>
        <xdr:cNvPr id="30" name="Graphic 29" descr="Warning with solid fill">
          <a:extLst>
            <a:ext uri="{FF2B5EF4-FFF2-40B4-BE49-F238E27FC236}">
              <a16:creationId xmlns:a16="http://schemas.microsoft.com/office/drawing/2014/main" id="{AD2D76B3-9151-4C40-B42C-166F0BCC5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39615" y="7143750"/>
          <a:ext cx="192354" cy="192354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6049.285531365742" createdVersion="8" refreshedVersion="8" minRefreshableVersion="3" recordCount="500" xr:uid="{563669CF-02CF-4597-9748-744D4D476EEC}">
  <cacheSource type="worksheet">
    <worksheetSource name="Dispute"/>
  </cacheSource>
  <cacheFields count="12">
    <cacheField name="Dispute" numFmtId="0">
      <sharedItems count="500">
        <s v="DISP-1002"/>
        <s v="DISP-1003"/>
        <s v="DISP-1004"/>
        <s v="DISP-1005"/>
        <s v="DISP-1006"/>
        <s v="DISP-1007"/>
        <s v="DISP-1008"/>
        <s v="DISP-1009"/>
        <s v="DISP-1010"/>
        <s v="DISP-1011"/>
        <s v="DISP-1012"/>
        <s v="DISP-1013"/>
        <s v="DISP-1014"/>
        <s v="DISP-1015"/>
        <s v="DISP-1016"/>
        <s v="DISP-1017"/>
        <s v="DISP-1018"/>
        <s v="DISP-1019"/>
        <s v="DISP-1020"/>
        <s v="DISP-1021"/>
        <s v="DISP-1022"/>
        <s v="DISP-1023"/>
        <s v="DISP-1024"/>
        <s v="DISP-1025"/>
        <s v="DISP-1026"/>
        <s v="DISP-1027"/>
        <s v="DISP-1028"/>
        <s v="DISP-1029"/>
        <s v="DISP-1030"/>
        <s v="DISP-1031"/>
        <s v="DISP-1032"/>
        <s v="DISP-1033"/>
        <s v="DISP-1034"/>
        <s v="DISP-1035"/>
        <s v="DISP-1036"/>
        <s v="DISP-1037"/>
        <s v="DISP-1038"/>
        <s v="DISP-1039"/>
        <s v="DISP-1040"/>
        <s v="DISP-1041"/>
        <s v="DISP-1042"/>
        <s v="DISP-1043"/>
        <s v="DISP-1044"/>
        <s v="DISP-1045"/>
        <s v="DISP-1046"/>
        <s v="DISP-1047"/>
        <s v="DISP-1048"/>
        <s v="DISP-1049"/>
        <s v="DISP-1050"/>
        <s v="DISP-1051"/>
        <s v="DISP-1052"/>
        <s v="DISP-1053"/>
        <s v="DISP-1054"/>
        <s v="DISP-1055"/>
        <s v="DISP-1056"/>
        <s v="DISP-1057"/>
        <s v="DISP-1058"/>
        <s v="DISP-1059"/>
        <s v="DISP-1060"/>
        <s v="DISP-1061"/>
        <s v="DISP-1062"/>
        <s v="DISP-1063"/>
        <s v="DISP-1064"/>
        <s v="DISP-1065"/>
        <s v="DISP-1066"/>
        <s v="DISP-1067"/>
        <s v="DISP-1068"/>
        <s v="DISP-1069"/>
        <s v="DISP-1070"/>
        <s v="DISP-1071"/>
        <s v="DISP-1072"/>
        <s v="DISP-1073"/>
        <s v="DISP-1074"/>
        <s v="DISP-1075"/>
        <s v="DISP-1076"/>
        <s v="DISP-1077"/>
        <s v="DISP-1078"/>
        <s v="DISP-1079"/>
        <s v="DISP-1080"/>
        <s v="DISP-1081"/>
        <s v="DISP-1082"/>
        <s v="DISP-1083"/>
        <s v="DISP-1084"/>
        <s v="DISP-1085"/>
        <s v="DISP-1086"/>
        <s v="DISP-1087"/>
        <s v="DISP-1088"/>
        <s v="DISP-1089"/>
        <s v="DISP-1090"/>
        <s v="DISP-1091"/>
        <s v="DISP-1092"/>
        <s v="DISP-1093"/>
        <s v="DISP-1094"/>
        <s v="DISP-1095"/>
        <s v="DISP-1096"/>
        <s v="DISP-1097"/>
        <s v="DISP-1098"/>
        <s v="DISP-1099"/>
        <s v="DISP-1100"/>
        <s v="DISP-1101"/>
        <s v="DISP-1102"/>
        <s v="DISP-1103"/>
        <s v="DISP-1104"/>
        <s v="DISP-1105"/>
        <s v="DISP-1106"/>
        <s v="DISP-1107"/>
        <s v="DISP-1108"/>
        <s v="DISP-1109"/>
        <s v="DISP-1110"/>
        <s v="DISP-1111"/>
        <s v="DISP-1112"/>
        <s v="DISP-1113"/>
        <s v="DISP-1114"/>
        <s v="DISP-1115"/>
        <s v="DISP-1116"/>
        <s v="DISP-1117"/>
        <s v="DISP-1118"/>
        <s v="DISP-1119"/>
        <s v="DISP-1120"/>
        <s v="DISP-1121"/>
        <s v="DISP-1122"/>
        <s v="DISP-1123"/>
        <s v="DISP-1124"/>
        <s v="DISP-1125"/>
        <s v="DISP-1126"/>
        <s v="DISP-1127"/>
        <s v="DISP-1128"/>
        <s v="DISP-1129"/>
        <s v="DISP-1130"/>
        <s v="DISP-1131"/>
        <s v="DISP-1132"/>
        <s v="DISP-1133"/>
        <s v="DISP-1134"/>
        <s v="DISP-1135"/>
        <s v="DISP-1136"/>
        <s v="DISP-1137"/>
        <s v="DISP-1138"/>
        <s v="DISP-1139"/>
        <s v="DISP-1140"/>
        <s v="DISP-1141"/>
        <s v="DISP-1142"/>
        <s v="DISP-1143"/>
        <s v="DISP-1144"/>
        <s v="DISP-1145"/>
        <s v="DISP-1146"/>
        <s v="DISP-1147"/>
        <s v="DISP-1148"/>
        <s v="DISP-1149"/>
        <s v="DISP-1150"/>
        <s v="DISP-1151"/>
        <s v="DISP-1152"/>
        <s v="DISP-1153"/>
        <s v="DISP-1154"/>
        <s v="DISP-1155"/>
        <s v="DISP-1156"/>
        <s v="DISP-1157"/>
        <s v="DISP-1158"/>
        <s v="DISP-1159"/>
        <s v="DISP-1160"/>
        <s v="DISP-1161"/>
        <s v="DISP-1162"/>
        <s v="DISP-1163"/>
        <s v="DISP-1164"/>
        <s v="DISP-1165"/>
        <s v="DISP-1166"/>
        <s v="DISP-1167"/>
        <s v="DISP-1168"/>
        <s v="DISP-1169"/>
        <s v="DISP-1170"/>
        <s v="DISP-1171"/>
        <s v="DISP-1172"/>
        <s v="DISP-1173"/>
        <s v="DISP-1174"/>
        <s v="DISP-1175"/>
        <s v="DISP-1176"/>
        <s v="DISP-1177"/>
        <s v="DISP-1178"/>
        <s v="DISP-1179"/>
        <s v="DISP-1180"/>
        <s v="DISP-1181"/>
        <s v="DISP-1182"/>
        <s v="DISP-1183"/>
        <s v="DISP-1184"/>
        <s v="DISP-1185"/>
        <s v="DISP-1186"/>
        <s v="DISP-1187"/>
        <s v="DISP-1188"/>
        <s v="DISP-1189"/>
        <s v="DISP-1190"/>
        <s v="DISP-1191"/>
        <s v="DISP-1192"/>
        <s v="DISP-1193"/>
        <s v="DISP-1194"/>
        <s v="DISP-1195"/>
        <s v="DISP-1196"/>
        <s v="DISP-1197"/>
        <s v="DISP-1198"/>
        <s v="DISP-1199"/>
        <s v="DISP-1200"/>
        <s v="DISP-1201"/>
        <s v="DISP-1202"/>
        <s v="DISP-1203"/>
        <s v="DISP-1204"/>
        <s v="DISP-1205"/>
        <s v="DISP-1206"/>
        <s v="DISP-1207"/>
        <s v="DISP-1208"/>
        <s v="DISP-1209"/>
        <s v="DISP-1210"/>
        <s v="DISP-1211"/>
        <s v="DISP-1212"/>
        <s v="DISP-1213"/>
        <s v="DISP-1214"/>
        <s v="DISP-1215"/>
        <s v="DISP-1216"/>
        <s v="DISP-1217"/>
        <s v="DISP-1218"/>
        <s v="DISP-1219"/>
        <s v="DISP-1220"/>
        <s v="DISP-1221"/>
        <s v="DISP-1222"/>
        <s v="DISP-1223"/>
        <s v="DISP-1224"/>
        <s v="DISP-1225"/>
        <s v="DISP-1226"/>
        <s v="DISP-1227"/>
        <s v="DISP-1228"/>
        <s v="DISP-1229"/>
        <s v="DISP-1230"/>
        <s v="DISP-1231"/>
        <s v="DISP-1232"/>
        <s v="DISP-1233"/>
        <s v="DISP-1234"/>
        <s v="DISP-1235"/>
        <s v="DISP-1236"/>
        <s v="DISP-1237"/>
        <s v="DISP-1238"/>
        <s v="DISP-1239"/>
        <s v="DISP-1240"/>
        <s v="DISP-1241"/>
        <s v="DISP-1242"/>
        <s v="DISP-1243"/>
        <s v="DISP-1244"/>
        <s v="DISP-1245"/>
        <s v="DISP-1246"/>
        <s v="DISP-1247"/>
        <s v="DISP-1248"/>
        <s v="DISP-1249"/>
        <s v="DISP-1250"/>
        <s v="DISP-1251"/>
        <s v="DISP-1252"/>
        <s v="DISP-1253"/>
        <s v="DISP-1254"/>
        <s v="DISP-1255"/>
        <s v="DISP-1256"/>
        <s v="DISP-1257"/>
        <s v="DISP-1258"/>
        <s v="DISP-1259"/>
        <s v="DISP-1260"/>
        <s v="DISP-1261"/>
        <s v="DISP-1262"/>
        <s v="DISP-1263"/>
        <s v="DISP-1264"/>
        <s v="DISP-1265"/>
        <s v="DISP-1266"/>
        <s v="DISP-1267"/>
        <s v="DISP-1268"/>
        <s v="DISP-1269"/>
        <s v="DISP-1270"/>
        <s v="DISP-1271"/>
        <s v="DISP-1272"/>
        <s v="DISP-1273"/>
        <s v="DISP-1274"/>
        <s v="DISP-1275"/>
        <s v="DISP-1276"/>
        <s v="DISP-1277"/>
        <s v="DISP-1278"/>
        <s v="DISP-1279"/>
        <s v="DISP-1280"/>
        <s v="DISP-1281"/>
        <s v="DISP-1282"/>
        <s v="DISP-1283"/>
        <s v="DISP-1284"/>
        <s v="DISP-1285"/>
        <s v="DISP-1286"/>
        <s v="DISP-1287"/>
        <s v="DISP-1288"/>
        <s v="DISP-1289"/>
        <s v="DISP-1290"/>
        <s v="DISP-1291"/>
        <s v="DISP-1292"/>
        <s v="DISP-1293"/>
        <s v="DISP-1294"/>
        <s v="DISP-1295"/>
        <s v="DISP-1296"/>
        <s v="DISP-1297"/>
        <s v="DISP-1298"/>
        <s v="DISP-1299"/>
        <s v="DISP-1300"/>
        <s v="DISP-1301"/>
        <s v="DISP-1302"/>
        <s v="DISP-1303"/>
        <s v="DISP-1304"/>
        <s v="DISP-1305"/>
        <s v="DISP-1306"/>
        <s v="DISP-1307"/>
        <s v="DISP-1308"/>
        <s v="DISP-1309"/>
        <s v="DISP-1310"/>
        <s v="DISP-1311"/>
        <s v="DISP-1312"/>
        <s v="DISP-1313"/>
        <s v="DISP-1314"/>
        <s v="DISP-1315"/>
        <s v="DISP-1316"/>
        <s v="DISP-1317"/>
        <s v="DISP-1318"/>
        <s v="DISP-1319"/>
        <s v="DISP-1320"/>
        <s v="DISP-1321"/>
        <s v="DISP-1322"/>
        <s v="DISP-1323"/>
        <s v="DISP-1324"/>
        <s v="DISP-1325"/>
        <s v="DISP-1326"/>
        <s v="DISP-1327"/>
        <s v="DISP-1328"/>
        <s v="DISP-1329"/>
        <s v="DISP-1330"/>
        <s v="DISP-1331"/>
        <s v="DISP-1332"/>
        <s v="DISP-1333"/>
        <s v="DISP-1334"/>
        <s v="DISP-1335"/>
        <s v="DISP-1336"/>
        <s v="DISP-1337"/>
        <s v="DISP-1338"/>
        <s v="DISP-1339"/>
        <s v="DISP-1340"/>
        <s v="DISP-1341"/>
        <s v="DISP-1342"/>
        <s v="DISP-1343"/>
        <s v="DISP-1344"/>
        <s v="DISP-1345"/>
        <s v="DISP-1346"/>
        <s v="DISP-1347"/>
        <s v="DISP-1348"/>
        <s v="DISP-1349"/>
        <s v="DISP-1350"/>
        <s v="DISP-1351"/>
        <s v="DISP-1352"/>
        <s v="DISP-1353"/>
        <s v="DISP-1354"/>
        <s v="DISP-1355"/>
        <s v="DISP-1356"/>
        <s v="DISP-1357"/>
        <s v="DISP-1358"/>
        <s v="DISP-1359"/>
        <s v="DISP-1360"/>
        <s v="DISP-1361"/>
        <s v="DISP-1362"/>
        <s v="DISP-1363"/>
        <s v="DISP-1364"/>
        <s v="DISP-1365"/>
        <s v="DISP-1366"/>
        <s v="DISP-1367"/>
        <s v="DISP-1368"/>
        <s v="DISP-1369"/>
        <s v="DISP-1370"/>
        <s v="DISP-1371"/>
        <s v="DISP-1372"/>
        <s v="DISP-1373"/>
        <s v="DISP-1374"/>
        <s v="DISP-1375"/>
        <s v="DISP-1376"/>
        <s v="DISP-1377"/>
        <s v="DISP-1378"/>
        <s v="DISP-1379"/>
        <s v="DISP-1380"/>
        <s v="DISP-1381"/>
        <s v="DISP-1382"/>
        <s v="DISP-1383"/>
        <s v="DISP-1384"/>
        <s v="DISP-1385"/>
        <s v="DISP-1386"/>
        <s v="DISP-1387"/>
        <s v="DISP-1388"/>
        <s v="DISP-1389"/>
        <s v="DISP-1390"/>
        <s v="DISP-1391"/>
        <s v="DISP-1392"/>
        <s v="DISP-1393"/>
        <s v="DISP-1394"/>
        <s v="DISP-1395"/>
        <s v="DISP-1396"/>
        <s v="DISP-1397"/>
        <s v="DISP-1398"/>
        <s v="DISP-1399"/>
        <s v="DISP-1400"/>
        <s v="DISP-1401"/>
        <s v="DISP-1402"/>
        <s v="DISP-1403"/>
        <s v="DISP-1404"/>
        <s v="DISP-1405"/>
        <s v="DISP-1406"/>
        <s v="DISP-1407"/>
        <s v="DISP-1408"/>
        <s v="DISP-1409"/>
        <s v="DISP-1410"/>
        <s v="DISP-1411"/>
        <s v="DISP-1412"/>
        <s v="DISP-1413"/>
        <s v="DISP-1414"/>
        <s v="DISP-1415"/>
        <s v="DISP-1416"/>
        <s v="DISP-1417"/>
        <s v="DISP-1418"/>
        <s v="DISP-1419"/>
        <s v="DISP-1420"/>
        <s v="DISP-1421"/>
        <s v="DISP-1422"/>
        <s v="DISP-1423"/>
        <s v="DISP-1424"/>
        <s v="DISP-1425"/>
        <s v="DISP-1426"/>
        <s v="DISP-1427"/>
        <s v="DISP-1428"/>
        <s v="DISP-1429"/>
        <s v="DISP-1430"/>
        <s v="DISP-1431"/>
        <s v="DISP-1432"/>
        <s v="DISP-1433"/>
        <s v="DISP-1434"/>
        <s v="DISP-1435"/>
        <s v="DISP-1436"/>
        <s v="DISP-1437"/>
        <s v="DISP-1438"/>
        <s v="DISP-1439"/>
        <s v="DISP-1440"/>
        <s v="DISP-1441"/>
        <s v="DISP-1442"/>
        <s v="DISP-1443"/>
        <s v="DISP-1444"/>
        <s v="DISP-1445"/>
        <s v="DISP-1446"/>
        <s v="DISP-1447"/>
        <s v="DISP-1448"/>
        <s v="DISP-1449"/>
        <s v="DISP-1450"/>
        <s v="DISP-1451"/>
        <s v="DISP-1452"/>
        <s v="DISP-1453"/>
        <s v="DISP-1454"/>
        <s v="DISP-1455"/>
        <s v="DISP-1456"/>
        <s v="DISP-1457"/>
        <s v="DISP-1458"/>
        <s v="DISP-1459"/>
        <s v="DISP-1460"/>
        <s v="DISP-1461"/>
        <s v="DISP-1462"/>
        <s v="DISP-1463"/>
        <s v="DISP-1464"/>
        <s v="DISP-1465"/>
        <s v="DISP-1466"/>
        <s v="DISP-1467"/>
        <s v="DISP-1468"/>
        <s v="DISP-1469"/>
        <s v="DISP-1470"/>
        <s v="DISP-1471"/>
        <s v="DISP-1472"/>
        <s v="DISP-1473"/>
        <s v="DISP-1474"/>
        <s v="DISP-1475"/>
        <s v="DISP-1476"/>
        <s v="DISP-1477"/>
        <s v="DISP-1478"/>
        <s v="DISP-1479"/>
        <s v="DISP-1480"/>
        <s v="DISP-1481"/>
        <s v="DISP-1482"/>
        <s v="DISP-1483"/>
        <s v="DISP-1484"/>
        <s v="DISP-1485"/>
        <s v="DISP-1486"/>
        <s v="DISP-1487"/>
        <s v="DISP-1488"/>
        <s v="DISP-1489"/>
        <s v="DISP-1490"/>
        <s v="DISP-1491"/>
        <s v="DISP-1492"/>
        <s v="DISP-1493"/>
        <s v="DISP-1494"/>
        <s v="DISP-1495"/>
        <s v="DISP-1496"/>
        <s v="DISP-1497"/>
        <s v="DISP-1498"/>
        <s v="DISP-1499"/>
        <s v="DISP-1500"/>
        <s v="DISP-1501"/>
      </sharedItems>
    </cacheField>
    <cacheField name="Order_Date" numFmtId="164">
      <sharedItems containsSemiMixedTypes="0" containsNonDate="0" containsDate="1" containsString="0" minDate="2025-01-01T00:00:00" maxDate="2025-03-02T00:00:00"/>
    </cacheField>
    <cacheField name="Dispute_Date" numFmtId="164">
      <sharedItems containsSemiMixedTypes="0" containsNonDate="0" containsDate="1" containsString="0" minDate="2025-01-03T00:00:00" maxDate="2025-03-10T00:00:00" count="66">
        <d v="2025-02-18T00:00:00"/>
        <d v="2025-02-13T00:00:00"/>
        <d v="2025-03-02T00:00:00"/>
        <d v="2025-02-11T00:00:00"/>
        <d v="2025-02-21T00:00:00"/>
        <d v="2025-01-09T00:00:00"/>
        <d v="2025-03-05T00:00:00"/>
        <d v="2025-01-27T00:00:00"/>
        <d v="2025-02-05T00:00:00"/>
        <d v="2025-01-28T00:00:00"/>
        <d v="2025-02-20T00:00:00"/>
        <d v="2025-02-15T00:00:00"/>
        <d v="2025-02-22T00:00:00"/>
        <d v="2025-01-21T00:00:00"/>
        <d v="2025-01-20T00:00:00"/>
        <d v="2025-02-25T00:00:00"/>
        <d v="2025-03-04T00:00:00"/>
        <d v="2025-02-07T00:00:00"/>
        <d v="2025-01-22T00:00:00"/>
        <d v="2025-02-27T00:00:00"/>
        <d v="2025-01-19T00:00:00"/>
        <d v="2025-01-10T00:00:00"/>
        <d v="2025-02-17T00:00:00"/>
        <d v="2025-01-13T00:00:00"/>
        <d v="2025-02-03T00:00:00"/>
        <d v="2025-01-18T00:00:00"/>
        <d v="2025-01-26T00:00:00"/>
        <d v="2025-01-24T00:00:00"/>
        <d v="2025-03-03T00:00:00"/>
        <d v="2025-02-23T00:00:00"/>
        <d v="2025-01-29T00:00:00"/>
        <d v="2025-02-28T00:00:00"/>
        <d v="2025-01-14T00:00:00"/>
        <d v="2025-02-01T00:00:00"/>
        <d v="2025-02-08T00:00:00"/>
        <d v="2025-01-25T00:00:00"/>
        <d v="2025-01-17T00:00:00"/>
        <d v="2025-01-23T00:00:00"/>
        <d v="2025-02-12T00:00:00"/>
        <d v="2025-01-04T00:00:00"/>
        <d v="2025-03-08T00:00:00"/>
        <d v="2025-01-15T00:00:00"/>
        <d v="2025-01-11T00:00:00"/>
        <d v="2025-02-09T00:00:00"/>
        <d v="2025-02-04T00:00:00"/>
        <d v="2025-02-06T00:00:00"/>
        <d v="2025-02-10T00:00:00"/>
        <d v="2025-02-24T00:00:00"/>
        <d v="2025-01-07T00:00:00"/>
        <d v="2025-02-26T00:00:00"/>
        <d v="2025-01-30T00:00:00"/>
        <d v="2025-02-16T00:00:00"/>
        <d v="2025-03-01T00:00:00"/>
        <d v="2025-03-06T00:00:00"/>
        <d v="2025-02-14T00:00:00"/>
        <d v="2025-01-16T00:00:00"/>
        <d v="2025-01-12T00:00:00"/>
        <d v="2025-01-31T00:00:00"/>
        <d v="2025-01-05T00:00:00"/>
        <d v="2025-03-07T00:00:00"/>
        <d v="2025-02-19T00:00:00"/>
        <d v="2025-02-02T00:00:00"/>
        <d v="2025-01-06T00:00:00"/>
        <d v="2025-01-08T00:00:00"/>
        <d v="2025-01-03T00:00:00"/>
        <d v="2025-03-09T00:00:00"/>
      </sharedItems>
      <fieldGroup par="11"/>
    </cacheField>
    <cacheField name="Time_Line" numFmtId="1">
      <sharedItems containsMixedTypes="1" containsNumber="1" containsInteger="1" minValue="1" maxValue="7"/>
    </cacheField>
    <cacheField name="Resolution_Date" numFmtId="164">
      <sharedItems containsNonDate="0" containsDate="1" containsString="0" containsBlank="1" minDate="2025-01-05T00:00:00" maxDate="2025-03-17T00:00:00"/>
    </cacheField>
    <cacheField name="Customer_Segment" numFmtId="0">
      <sharedItems count="3">
        <s v="New"/>
        <s v="Standard"/>
        <s v="VIP"/>
      </sharedItems>
    </cacheField>
    <cacheField name="Product_Category" numFmtId="0">
      <sharedItems count="4">
        <s v="Electronics"/>
        <s v="Software"/>
        <s v="Apparel"/>
        <s v="Home"/>
      </sharedItems>
    </cacheField>
    <cacheField name="Dispute_Reason" numFmtId="0">
      <sharedItems count="4">
        <s v="Fraud"/>
        <s v="Not Received"/>
        <s v="Damaged"/>
        <s v="Incorrect Item"/>
      </sharedItems>
    </cacheField>
    <cacheField name="Refund_Amount" numFmtId="165">
      <sharedItems containsSemiMixedTypes="0" containsString="0" containsNumber="1" minValue="16.799999237060547" maxValue="1211.18994140625"/>
    </cacheField>
    <cacheField name="Status" numFmtId="0">
      <sharedItems count="3">
        <s v="Approved"/>
        <s v="Denied"/>
        <s v="In Progress"/>
      </sharedItems>
    </cacheField>
    <cacheField name="Days (Dispute_Date)" numFmtId="0" databaseField="0">
      <fieldGroup base="2">
        <rangePr groupBy="days" startDate="2025-01-03T00:00:00" endDate="2025-03-10T00:00:00"/>
        <groupItems count="368">
          <s v="&lt;1/3/202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10/2025"/>
        </groupItems>
      </fieldGroup>
    </cacheField>
    <cacheField name="Months (Dispute_Date)" numFmtId="0" databaseField="0">
      <fieldGroup base="2">
        <rangePr groupBy="months" startDate="2025-01-03T00:00:00" endDate="2025-03-10T00:00:00"/>
        <groupItems count="14">
          <s v="&lt;1/3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0/2025"/>
        </groupItems>
      </fieldGroup>
    </cacheField>
  </cacheFields>
  <extLst>
    <ext xmlns:x14="http://schemas.microsoft.com/office/spreadsheetml/2009/9/main" uri="{725AE2AE-9491-48be-B2B4-4EB974FC3084}">
      <x14:pivotCacheDefinition pivotCacheId="20244394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x v="0"/>
    <d v="2025-02-12T00:00:00"/>
    <x v="0"/>
    <n v="3"/>
    <d v="2025-02-21T00:00:00"/>
    <x v="0"/>
    <x v="0"/>
    <x v="0"/>
    <n v="992.3900146484375"/>
    <x v="0"/>
  </r>
  <r>
    <x v="1"/>
    <d v="2025-02-12T00:00:00"/>
    <x v="1"/>
    <n v="7"/>
    <d v="2025-02-20T00:00:00"/>
    <x v="1"/>
    <x v="1"/>
    <x v="0"/>
    <n v="82.480003356933594"/>
    <x v="1"/>
  </r>
  <r>
    <x v="2"/>
    <d v="2025-02-26T00:00:00"/>
    <x v="2"/>
    <n v="6"/>
    <d v="2025-03-08T00:00:00"/>
    <x v="1"/>
    <x v="2"/>
    <x v="1"/>
    <n v="762.239990234375"/>
    <x v="0"/>
  </r>
  <r>
    <x v="3"/>
    <d v="2025-02-08T00:00:00"/>
    <x v="3"/>
    <n v="6"/>
    <d v="2025-02-17T00:00:00"/>
    <x v="1"/>
    <x v="1"/>
    <x v="0"/>
    <n v="287.239990234375"/>
    <x v="1"/>
  </r>
  <r>
    <x v="4"/>
    <d v="2025-02-11T00:00:00"/>
    <x v="4"/>
    <n v="4"/>
    <d v="2025-02-25T00:00:00"/>
    <x v="0"/>
    <x v="3"/>
    <x v="2"/>
    <n v="705.219970703125"/>
    <x v="0"/>
  </r>
  <r>
    <x v="5"/>
    <d v="2025-01-07T00:00:00"/>
    <x v="5"/>
    <n v="2"/>
    <d v="2025-01-11T00:00:00"/>
    <x v="2"/>
    <x v="2"/>
    <x v="1"/>
    <n v="1153.2900390625"/>
    <x v="0"/>
  </r>
  <r>
    <x v="6"/>
    <d v="2025-02-28T00:00:00"/>
    <x v="6"/>
    <n v="2"/>
    <d v="2025-03-07T00:00:00"/>
    <x v="1"/>
    <x v="2"/>
    <x v="1"/>
    <n v="870.280029296875"/>
    <x v="0"/>
  </r>
  <r>
    <x v="7"/>
    <d v="2025-01-20T00:00:00"/>
    <x v="7"/>
    <n v="2"/>
    <d v="2025-01-29T00:00:00"/>
    <x v="2"/>
    <x v="2"/>
    <x v="0"/>
    <n v="328.6400146484375"/>
    <x v="1"/>
  </r>
  <r>
    <x v="8"/>
    <d v="2025-02-17T00:00:00"/>
    <x v="4"/>
    <n v="7"/>
    <d v="2025-02-28T00:00:00"/>
    <x v="1"/>
    <x v="2"/>
    <x v="2"/>
    <n v="688.25"/>
    <x v="1"/>
  </r>
  <r>
    <x v="9"/>
    <d v="2025-02-11T00:00:00"/>
    <x v="4"/>
    <n v="1"/>
    <d v="2025-02-22T00:00:00"/>
    <x v="0"/>
    <x v="2"/>
    <x v="3"/>
    <n v="617.94000244140625"/>
    <x v="1"/>
  </r>
  <r>
    <x v="10"/>
    <d v="2025-01-31T00:00:00"/>
    <x v="8"/>
    <n v="3"/>
    <d v="2025-02-08T00:00:00"/>
    <x v="2"/>
    <x v="0"/>
    <x v="0"/>
    <n v="88.099998474121094"/>
    <x v="0"/>
  </r>
  <r>
    <x v="11"/>
    <d v="2025-01-24T00:00:00"/>
    <x v="9"/>
    <n v="2"/>
    <d v="2025-01-30T00:00:00"/>
    <x v="2"/>
    <x v="3"/>
    <x v="3"/>
    <n v="202.55999755859375"/>
    <x v="0"/>
  </r>
  <r>
    <x v="12"/>
    <d v="2025-02-26T00:00:00"/>
    <x v="6"/>
    <n v="3"/>
    <d v="2025-03-08T00:00:00"/>
    <x v="0"/>
    <x v="2"/>
    <x v="0"/>
    <n v="730.30999755859375"/>
    <x v="0"/>
  </r>
  <r>
    <x v="13"/>
    <d v="2025-02-19T00:00:00"/>
    <x v="10"/>
    <n v="1"/>
    <d v="2025-02-21T00:00:00"/>
    <x v="2"/>
    <x v="0"/>
    <x v="2"/>
    <n v="659.1500244140625"/>
    <x v="0"/>
  </r>
  <r>
    <x v="14"/>
    <d v="2025-02-09T00:00:00"/>
    <x v="11"/>
    <n v="1"/>
    <d v="2025-02-16T00:00:00"/>
    <x v="0"/>
    <x v="2"/>
    <x v="1"/>
    <n v="194.97999572753906"/>
    <x v="0"/>
  </r>
  <r>
    <x v="15"/>
    <d v="2025-02-12T00:00:00"/>
    <x v="12"/>
    <n v="1"/>
    <d v="2025-02-23T00:00:00"/>
    <x v="1"/>
    <x v="2"/>
    <x v="1"/>
    <n v="264.14999389648438"/>
    <x v="1"/>
  </r>
  <r>
    <x v="16"/>
    <d v="2025-01-20T00:00:00"/>
    <x v="13"/>
    <n v="2"/>
    <d v="2025-01-23T00:00:00"/>
    <x v="2"/>
    <x v="2"/>
    <x v="1"/>
    <n v="1062.06005859375"/>
    <x v="1"/>
  </r>
  <r>
    <x v="17"/>
    <d v="2025-02-15T00:00:00"/>
    <x v="0"/>
    <n v="2"/>
    <d v="2025-02-20T00:00:00"/>
    <x v="2"/>
    <x v="2"/>
    <x v="0"/>
    <n v="371.70999145507813"/>
    <x v="0"/>
  </r>
  <r>
    <x v="18"/>
    <d v="2025-01-15T00:00:00"/>
    <x v="14"/>
    <n v="3"/>
    <d v="2025-01-23T00:00:00"/>
    <x v="1"/>
    <x v="0"/>
    <x v="0"/>
    <n v="721.3499755859375"/>
    <x v="0"/>
  </r>
  <r>
    <x v="19"/>
    <d v="2025-02-15T00:00:00"/>
    <x v="15"/>
    <n v="4"/>
    <d v="2025-03-01T00:00:00"/>
    <x v="1"/>
    <x v="2"/>
    <x v="0"/>
    <n v="152.55000305175781"/>
    <x v="0"/>
  </r>
  <r>
    <x v="20"/>
    <d v="2025-02-25T00:00:00"/>
    <x v="16"/>
    <n v="2"/>
    <d v="2025-03-06T00:00:00"/>
    <x v="2"/>
    <x v="1"/>
    <x v="2"/>
    <n v="49.659999847412109"/>
    <x v="0"/>
  </r>
  <r>
    <x v="21"/>
    <d v="2025-01-21T00:00:00"/>
    <x v="7"/>
    <n v="4"/>
    <d v="2025-01-31T00:00:00"/>
    <x v="0"/>
    <x v="1"/>
    <x v="3"/>
    <n v="881.27001953125"/>
    <x v="0"/>
  </r>
  <r>
    <x v="22"/>
    <d v="2025-03-01T00:00:00"/>
    <x v="6"/>
    <n v="3"/>
    <d v="2025-03-08T00:00:00"/>
    <x v="2"/>
    <x v="2"/>
    <x v="3"/>
    <n v="992.5999755859375"/>
    <x v="1"/>
  </r>
  <r>
    <x v="23"/>
    <d v="2025-02-02T00:00:00"/>
    <x v="17"/>
    <n v="2"/>
    <d v="2025-02-09T00:00:00"/>
    <x v="1"/>
    <x v="3"/>
    <x v="0"/>
    <n v="459.6199951171875"/>
    <x v="1"/>
  </r>
  <r>
    <x v="24"/>
    <d v="2025-01-19T00:00:00"/>
    <x v="18"/>
    <s v=""/>
    <m/>
    <x v="1"/>
    <x v="0"/>
    <x v="3"/>
    <n v="451.14999389648438"/>
    <x v="2"/>
  </r>
  <r>
    <x v="25"/>
    <d v="2025-02-22T00:00:00"/>
    <x v="19"/>
    <s v=""/>
    <m/>
    <x v="0"/>
    <x v="3"/>
    <x v="3"/>
    <n v="953.57000732421875"/>
    <x v="2"/>
  </r>
  <r>
    <x v="26"/>
    <d v="2025-01-10T00:00:00"/>
    <x v="20"/>
    <n v="7"/>
    <d v="2025-01-26T00:00:00"/>
    <x v="2"/>
    <x v="1"/>
    <x v="1"/>
    <n v="571.29998779296875"/>
    <x v="0"/>
  </r>
  <r>
    <x v="27"/>
    <d v="2025-01-08T00:00:00"/>
    <x v="21"/>
    <s v=""/>
    <m/>
    <x v="2"/>
    <x v="3"/>
    <x v="3"/>
    <n v="688.21002197265625"/>
    <x v="2"/>
  </r>
  <r>
    <x v="28"/>
    <d v="2025-01-14T00:00:00"/>
    <x v="20"/>
    <n v="6"/>
    <d v="2025-01-25T00:00:00"/>
    <x v="0"/>
    <x v="3"/>
    <x v="2"/>
    <n v="776.489990234375"/>
    <x v="0"/>
  </r>
  <r>
    <x v="29"/>
    <d v="2025-02-12T00:00:00"/>
    <x v="1"/>
    <n v="3"/>
    <d v="2025-02-16T00:00:00"/>
    <x v="0"/>
    <x v="1"/>
    <x v="3"/>
    <n v="516.1199951171875"/>
    <x v="0"/>
  </r>
  <r>
    <x v="30"/>
    <d v="2025-02-14T00:00:00"/>
    <x v="22"/>
    <n v="4"/>
    <d v="2025-02-21T00:00:00"/>
    <x v="2"/>
    <x v="3"/>
    <x v="1"/>
    <n v="140.32000732421875"/>
    <x v="1"/>
  </r>
  <r>
    <x v="31"/>
    <d v="2025-01-12T00:00:00"/>
    <x v="23"/>
    <n v="7"/>
    <d v="2025-01-20T00:00:00"/>
    <x v="1"/>
    <x v="1"/>
    <x v="2"/>
    <n v="469.79000854492188"/>
    <x v="1"/>
  </r>
  <r>
    <x v="32"/>
    <d v="2025-01-24T00:00:00"/>
    <x v="7"/>
    <n v="1"/>
    <d v="2025-01-28T00:00:00"/>
    <x v="0"/>
    <x v="3"/>
    <x v="0"/>
    <n v="803.71002197265625"/>
    <x v="1"/>
  </r>
  <r>
    <x v="33"/>
    <d v="2025-01-27T00:00:00"/>
    <x v="24"/>
    <s v=""/>
    <m/>
    <x v="0"/>
    <x v="3"/>
    <x v="1"/>
    <n v="201.52000427246094"/>
    <x v="2"/>
  </r>
  <r>
    <x v="34"/>
    <d v="2025-01-14T00:00:00"/>
    <x v="25"/>
    <n v="1"/>
    <d v="2025-01-19T00:00:00"/>
    <x v="0"/>
    <x v="1"/>
    <x v="1"/>
    <n v="1182.27001953125"/>
    <x v="1"/>
  </r>
  <r>
    <x v="35"/>
    <d v="2025-02-18T00:00:00"/>
    <x v="15"/>
    <n v="7"/>
    <d v="2025-03-04T00:00:00"/>
    <x v="2"/>
    <x v="1"/>
    <x v="0"/>
    <n v="850.53997802734375"/>
    <x v="0"/>
  </r>
  <r>
    <x v="36"/>
    <d v="2025-01-25T00:00:00"/>
    <x v="26"/>
    <s v=""/>
    <m/>
    <x v="2"/>
    <x v="3"/>
    <x v="1"/>
    <n v="142.36000061035156"/>
    <x v="2"/>
  </r>
  <r>
    <x v="37"/>
    <d v="2025-01-17T00:00:00"/>
    <x v="27"/>
    <n v="4"/>
    <d v="2025-01-28T00:00:00"/>
    <x v="0"/>
    <x v="2"/>
    <x v="1"/>
    <n v="940"/>
    <x v="0"/>
  </r>
  <r>
    <x v="38"/>
    <d v="2025-01-14T00:00:00"/>
    <x v="20"/>
    <n v="7"/>
    <d v="2025-01-26T00:00:00"/>
    <x v="1"/>
    <x v="2"/>
    <x v="0"/>
    <n v="718.1300048828125"/>
    <x v="1"/>
  </r>
  <r>
    <x v="39"/>
    <d v="2025-02-25T00:00:00"/>
    <x v="28"/>
    <n v="7"/>
    <d v="2025-03-10T00:00:00"/>
    <x v="2"/>
    <x v="0"/>
    <x v="1"/>
    <n v="18.010000228881836"/>
    <x v="0"/>
  </r>
  <r>
    <x v="40"/>
    <d v="2025-02-14T00:00:00"/>
    <x v="29"/>
    <n v="5"/>
    <d v="2025-02-28T00:00:00"/>
    <x v="0"/>
    <x v="3"/>
    <x v="1"/>
    <n v="108.58000183105469"/>
    <x v="0"/>
  </r>
  <r>
    <x v="41"/>
    <d v="2025-01-25T00:00:00"/>
    <x v="30"/>
    <n v="3"/>
    <d v="2025-02-01T00:00:00"/>
    <x v="2"/>
    <x v="3"/>
    <x v="0"/>
    <n v="306.77999877929688"/>
    <x v="1"/>
  </r>
  <r>
    <x v="42"/>
    <d v="2025-02-26T00:00:00"/>
    <x v="31"/>
    <n v="5"/>
    <d v="2025-03-05T00:00:00"/>
    <x v="0"/>
    <x v="3"/>
    <x v="2"/>
    <n v="1047.18994140625"/>
    <x v="1"/>
  </r>
  <r>
    <x v="43"/>
    <d v="2025-01-05T00:00:00"/>
    <x v="21"/>
    <n v="2"/>
    <d v="2025-01-12T00:00:00"/>
    <x v="1"/>
    <x v="3"/>
    <x v="1"/>
    <n v="712.40997314453125"/>
    <x v="0"/>
  </r>
  <r>
    <x v="44"/>
    <d v="2025-01-13T00:00:00"/>
    <x v="32"/>
    <n v="1"/>
    <d v="2025-01-15T00:00:00"/>
    <x v="0"/>
    <x v="0"/>
    <x v="0"/>
    <n v="1030.4200439453125"/>
    <x v="1"/>
  </r>
  <r>
    <x v="45"/>
    <d v="2025-01-27T00:00:00"/>
    <x v="33"/>
    <n v="6"/>
    <d v="2025-02-07T00:00:00"/>
    <x v="2"/>
    <x v="2"/>
    <x v="1"/>
    <n v="198.21000671386719"/>
    <x v="0"/>
  </r>
  <r>
    <x v="46"/>
    <d v="2025-02-07T00:00:00"/>
    <x v="34"/>
    <n v="5"/>
    <d v="2025-02-13T00:00:00"/>
    <x v="2"/>
    <x v="1"/>
    <x v="1"/>
    <n v="19.819999694824219"/>
    <x v="1"/>
  </r>
  <r>
    <x v="47"/>
    <d v="2025-01-26T00:00:00"/>
    <x v="30"/>
    <n v="7"/>
    <d v="2025-02-05T00:00:00"/>
    <x v="2"/>
    <x v="0"/>
    <x v="2"/>
    <n v="196.99000549316406"/>
    <x v="1"/>
  </r>
  <r>
    <x v="48"/>
    <d v="2025-01-23T00:00:00"/>
    <x v="35"/>
    <n v="7"/>
    <d v="2025-02-01T00:00:00"/>
    <x v="0"/>
    <x v="0"/>
    <x v="1"/>
    <n v="48.900001525878906"/>
    <x v="1"/>
  </r>
  <r>
    <x v="49"/>
    <d v="2025-02-19T00:00:00"/>
    <x v="19"/>
    <n v="3"/>
    <d v="2025-03-02T00:00:00"/>
    <x v="1"/>
    <x v="1"/>
    <x v="3"/>
    <n v="259.29998779296875"/>
    <x v="0"/>
  </r>
  <r>
    <x v="50"/>
    <d v="2025-01-13T00:00:00"/>
    <x v="36"/>
    <n v="3"/>
    <d v="2025-01-20T00:00:00"/>
    <x v="1"/>
    <x v="3"/>
    <x v="2"/>
    <n v="672.1199951171875"/>
    <x v="1"/>
  </r>
  <r>
    <x v="51"/>
    <d v="2025-01-13T00:00:00"/>
    <x v="37"/>
    <n v="7"/>
    <d v="2025-01-30T00:00:00"/>
    <x v="1"/>
    <x v="1"/>
    <x v="0"/>
    <n v="325.1300048828125"/>
    <x v="1"/>
  </r>
  <r>
    <x v="52"/>
    <d v="2025-01-11T00:00:00"/>
    <x v="25"/>
    <s v=""/>
    <m/>
    <x v="1"/>
    <x v="3"/>
    <x v="2"/>
    <n v="146.69000244140625"/>
    <x v="2"/>
  </r>
  <r>
    <x v="53"/>
    <d v="2025-01-18T00:00:00"/>
    <x v="18"/>
    <n v="3"/>
    <d v="2025-01-25T00:00:00"/>
    <x v="0"/>
    <x v="2"/>
    <x v="1"/>
    <n v="496.239990234375"/>
    <x v="0"/>
  </r>
  <r>
    <x v="54"/>
    <d v="2025-02-20T00:00:00"/>
    <x v="15"/>
    <n v="5"/>
    <d v="2025-03-02T00:00:00"/>
    <x v="0"/>
    <x v="3"/>
    <x v="3"/>
    <n v="282.989990234375"/>
    <x v="0"/>
  </r>
  <r>
    <x v="55"/>
    <d v="2025-02-04T00:00:00"/>
    <x v="38"/>
    <n v="7"/>
    <d v="2025-02-19T00:00:00"/>
    <x v="0"/>
    <x v="1"/>
    <x v="1"/>
    <n v="456.67001342773438"/>
    <x v="0"/>
  </r>
  <r>
    <x v="56"/>
    <d v="2025-01-01T00:00:00"/>
    <x v="39"/>
    <n v="6"/>
    <d v="2025-01-10T00:00:00"/>
    <x v="1"/>
    <x v="2"/>
    <x v="3"/>
    <n v="967.32000732421875"/>
    <x v="1"/>
  </r>
  <r>
    <x v="57"/>
    <d v="2025-02-21T00:00:00"/>
    <x v="12"/>
    <n v="3"/>
    <d v="2025-02-25T00:00:00"/>
    <x v="1"/>
    <x v="3"/>
    <x v="1"/>
    <n v="503.32000732421875"/>
    <x v="0"/>
  </r>
  <r>
    <x v="58"/>
    <d v="2025-02-26T00:00:00"/>
    <x v="40"/>
    <n v="4"/>
    <d v="2025-03-12T00:00:00"/>
    <x v="2"/>
    <x v="0"/>
    <x v="1"/>
    <n v="37.569999694824219"/>
    <x v="1"/>
  </r>
  <r>
    <x v="59"/>
    <d v="2025-01-10T00:00:00"/>
    <x v="41"/>
    <n v="4"/>
    <d v="2025-01-19T00:00:00"/>
    <x v="2"/>
    <x v="2"/>
    <x v="2"/>
    <n v="389.20001220703125"/>
    <x v="1"/>
  </r>
  <r>
    <x v="60"/>
    <d v="2025-02-06T00:00:00"/>
    <x v="38"/>
    <n v="3"/>
    <d v="2025-02-15T00:00:00"/>
    <x v="0"/>
    <x v="3"/>
    <x v="1"/>
    <n v="894.030029296875"/>
    <x v="1"/>
  </r>
  <r>
    <x v="61"/>
    <d v="2025-01-10T00:00:00"/>
    <x v="42"/>
    <n v="6"/>
    <d v="2025-01-17T00:00:00"/>
    <x v="1"/>
    <x v="3"/>
    <x v="0"/>
    <n v="57.529998779296875"/>
    <x v="1"/>
  </r>
  <r>
    <x v="62"/>
    <d v="2025-02-17T00:00:00"/>
    <x v="12"/>
    <n v="5"/>
    <d v="2025-02-27T00:00:00"/>
    <x v="0"/>
    <x v="3"/>
    <x v="2"/>
    <n v="809.30999755859375"/>
    <x v="1"/>
  </r>
  <r>
    <x v="63"/>
    <d v="2025-02-27T00:00:00"/>
    <x v="31"/>
    <n v="1"/>
    <d v="2025-03-01T00:00:00"/>
    <x v="1"/>
    <x v="1"/>
    <x v="2"/>
    <n v="80.580001831054688"/>
    <x v="0"/>
  </r>
  <r>
    <x v="64"/>
    <d v="2025-02-03T00:00:00"/>
    <x v="17"/>
    <n v="4"/>
    <d v="2025-02-11T00:00:00"/>
    <x v="1"/>
    <x v="2"/>
    <x v="2"/>
    <n v="505.510009765625"/>
    <x v="1"/>
  </r>
  <r>
    <x v="65"/>
    <d v="2025-02-04T00:00:00"/>
    <x v="38"/>
    <n v="5"/>
    <d v="2025-02-17T00:00:00"/>
    <x v="1"/>
    <x v="1"/>
    <x v="3"/>
    <n v="847.02001953125"/>
    <x v="1"/>
  </r>
  <r>
    <x v="66"/>
    <d v="2025-02-13T00:00:00"/>
    <x v="11"/>
    <n v="1"/>
    <d v="2025-02-16T00:00:00"/>
    <x v="0"/>
    <x v="1"/>
    <x v="2"/>
    <n v="236.07000732421875"/>
    <x v="0"/>
  </r>
  <r>
    <x v="67"/>
    <d v="2025-01-15T00:00:00"/>
    <x v="35"/>
    <n v="2"/>
    <d v="2025-01-27T00:00:00"/>
    <x v="1"/>
    <x v="1"/>
    <x v="0"/>
    <n v="385.16000366210938"/>
    <x v="1"/>
  </r>
  <r>
    <x v="68"/>
    <d v="2025-02-19T00:00:00"/>
    <x v="19"/>
    <n v="2"/>
    <d v="2025-03-01T00:00:00"/>
    <x v="1"/>
    <x v="2"/>
    <x v="2"/>
    <n v="709.75"/>
    <x v="0"/>
  </r>
  <r>
    <x v="69"/>
    <d v="2025-02-07T00:00:00"/>
    <x v="43"/>
    <s v=""/>
    <m/>
    <x v="1"/>
    <x v="1"/>
    <x v="3"/>
    <n v="524.90997314453125"/>
    <x v="2"/>
  </r>
  <r>
    <x v="70"/>
    <d v="2025-01-12T00:00:00"/>
    <x v="36"/>
    <n v="6"/>
    <d v="2025-01-23T00:00:00"/>
    <x v="1"/>
    <x v="3"/>
    <x v="3"/>
    <n v="60.830001831054688"/>
    <x v="0"/>
  </r>
  <r>
    <x v="71"/>
    <d v="2025-02-08T00:00:00"/>
    <x v="22"/>
    <n v="1"/>
    <d v="2025-02-18T00:00:00"/>
    <x v="0"/>
    <x v="2"/>
    <x v="1"/>
    <n v="912.09002685546875"/>
    <x v="0"/>
  </r>
  <r>
    <x v="72"/>
    <d v="2025-01-27T00:00:00"/>
    <x v="44"/>
    <n v="2"/>
    <d v="2025-02-06T00:00:00"/>
    <x v="2"/>
    <x v="1"/>
    <x v="1"/>
    <n v="756.719970703125"/>
    <x v="0"/>
  </r>
  <r>
    <x v="73"/>
    <d v="2025-01-19T00:00:00"/>
    <x v="9"/>
    <n v="6"/>
    <d v="2025-02-03T00:00:00"/>
    <x v="2"/>
    <x v="0"/>
    <x v="1"/>
    <n v="558.3900146484375"/>
    <x v="0"/>
  </r>
  <r>
    <x v="74"/>
    <d v="2025-02-05T00:00:00"/>
    <x v="45"/>
    <n v="1"/>
    <d v="2025-02-07T00:00:00"/>
    <x v="0"/>
    <x v="3"/>
    <x v="0"/>
    <n v="1008.2100219726563"/>
    <x v="0"/>
  </r>
  <r>
    <x v="75"/>
    <d v="2025-02-03T00:00:00"/>
    <x v="46"/>
    <s v=""/>
    <m/>
    <x v="0"/>
    <x v="2"/>
    <x v="3"/>
    <n v="731.71002197265625"/>
    <x v="2"/>
  </r>
  <r>
    <x v="76"/>
    <d v="2025-02-16T00:00:00"/>
    <x v="47"/>
    <n v="6"/>
    <d v="2025-03-02T00:00:00"/>
    <x v="1"/>
    <x v="3"/>
    <x v="3"/>
    <n v="352.92999267578125"/>
    <x v="0"/>
  </r>
  <r>
    <x v="77"/>
    <d v="2025-01-25T00:00:00"/>
    <x v="30"/>
    <n v="4"/>
    <d v="2025-02-02T00:00:00"/>
    <x v="1"/>
    <x v="0"/>
    <x v="1"/>
    <n v="180.22999572753906"/>
    <x v="1"/>
  </r>
  <r>
    <x v="78"/>
    <d v="2025-02-09T00:00:00"/>
    <x v="3"/>
    <s v=""/>
    <m/>
    <x v="1"/>
    <x v="0"/>
    <x v="3"/>
    <n v="857.8900146484375"/>
    <x v="2"/>
  </r>
  <r>
    <x v="79"/>
    <d v="2025-01-27T00:00:00"/>
    <x v="33"/>
    <n v="5"/>
    <d v="2025-02-06T00:00:00"/>
    <x v="2"/>
    <x v="1"/>
    <x v="2"/>
    <n v="565.44000244140625"/>
    <x v="0"/>
  </r>
  <r>
    <x v="80"/>
    <d v="2025-02-14T00:00:00"/>
    <x v="12"/>
    <n v="2"/>
    <d v="2025-02-24T00:00:00"/>
    <x v="0"/>
    <x v="1"/>
    <x v="1"/>
    <n v="570"/>
    <x v="0"/>
  </r>
  <r>
    <x v="81"/>
    <d v="2025-01-21T00:00:00"/>
    <x v="27"/>
    <n v="4"/>
    <d v="2025-01-28T00:00:00"/>
    <x v="1"/>
    <x v="0"/>
    <x v="3"/>
    <n v="324.57998657226563"/>
    <x v="1"/>
  </r>
  <r>
    <x v="82"/>
    <d v="2025-01-04T00:00:00"/>
    <x v="48"/>
    <n v="3"/>
    <d v="2025-01-10T00:00:00"/>
    <x v="1"/>
    <x v="2"/>
    <x v="1"/>
    <n v="272.70999145507813"/>
    <x v="1"/>
  </r>
  <r>
    <x v="83"/>
    <d v="2025-01-13T00:00:00"/>
    <x v="25"/>
    <n v="2"/>
    <d v="2025-01-20T00:00:00"/>
    <x v="1"/>
    <x v="3"/>
    <x v="2"/>
    <n v="68.599998474121094"/>
    <x v="1"/>
  </r>
  <r>
    <x v="84"/>
    <d v="2025-01-10T00:00:00"/>
    <x v="23"/>
    <n v="5"/>
    <d v="2025-01-18T00:00:00"/>
    <x v="0"/>
    <x v="1"/>
    <x v="3"/>
    <n v="480.04000854492188"/>
    <x v="0"/>
  </r>
  <r>
    <x v="85"/>
    <d v="2025-01-01T00:00:00"/>
    <x v="39"/>
    <s v=""/>
    <m/>
    <x v="1"/>
    <x v="1"/>
    <x v="1"/>
    <n v="303.83999633789063"/>
    <x v="2"/>
  </r>
  <r>
    <x v="86"/>
    <d v="2025-02-22T00:00:00"/>
    <x v="47"/>
    <n v="5"/>
    <d v="2025-03-01T00:00:00"/>
    <x v="0"/>
    <x v="1"/>
    <x v="2"/>
    <n v="488.33999633789063"/>
    <x v="1"/>
  </r>
  <r>
    <x v="87"/>
    <d v="2025-02-19T00:00:00"/>
    <x v="12"/>
    <n v="3"/>
    <d v="2025-02-25T00:00:00"/>
    <x v="1"/>
    <x v="1"/>
    <x v="2"/>
    <n v="892.3599853515625"/>
    <x v="1"/>
  </r>
  <r>
    <x v="88"/>
    <d v="2025-02-23T00:00:00"/>
    <x v="49"/>
    <n v="7"/>
    <d v="2025-03-05T00:00:00"/>
    <x v="1"/>
    <x v="3"/>
    <x v="1"/>
    <n v="202.86000061035156"/>
    <x v="1"/>
  </r>
  <r>
    <x v="89"/>
    <d v="2025-02-08T00:00:00"/>
    <x v="11"/>
    <n v="3"/>
    <d v="2025-02-18T00:00:00"/>
    <x v="1"/>
    <x v="0"/>
    <x v="1"/>
    <n v="556.489990234375"/>
    <x v="0"/>
  </r>
  <r>
    <x v="90"/>
    <d v="2025-01-18T00:00:00"/>
    <x v="9"/>
    <s v=""/>
    <m/>
    <x v="1"/>
    <x v="3"/>
    <x v="3"/>
    <n v="50.279998779296875"/>
    <x v="2"/>
  </r>
  <r>
    <x v="91"/>
    <d v="2025-02-13T00:00:00"/>
    <x v="22"/>
    <n v="3"/>
    <d v="2025-02-20T00:00:00"/>
    <x v="2"/>
    <x v="2"/>
    <x v="2"/>
    <n v="726.40997314453125"/>
    <x v="0"/>
  </r>
  <r>
    <x v="92"/>
    <d v="2025-02-12T00:00:00"/>
    <x v="11"/>
    <n v="5"/>
    <d v="2025-02-20T00:00:00"/>
    <x v="0"/>
    <x v="0"/>
    <x v="0"/>
    <n v="938.8499755859375"/>
    <x v="1"/>
  </r>
  <r>
    <x v="93"/>
    <d v="2025-01-25T00:00:00"/>
    <x v="33"/>
    <n v="4"/>
    <d v="2025-02-05T00:00:00"/>
    <x v="0"/>
    <x v="0"/>
    <x v="3"/>
    <n v="832.8900146484375"/>
    <x v="0"/>
  </r>
  <r>
    <x v="94"/>
    <d v="2025-01-07T00:00:00"/>
    <x v="32"/>
    <n v="6"/>
    <d v="2025-01-20T00:00:00"/>
    <x v="2"/>
    <x v="2"/>
    <x v="3"/>
    <n v="86.610000610351563"/>
    <x v="0"/>
  </r>
  <r>
    <x v="95"/>
    <d v="2025-01-25T00:00:00"/>
    <x v="7"/>
    <s v=""/>
    <m/>
    <x v="2"/>
    <x v="1"/>
    <x v="3"/>
    <n v="344.95999145507813"/>
    <x v="2"/>
  </r>
  <r>
    <x v="96"/>
    <d v="2025-01-25T00:00:00"/>
    <x v="50"/>
    <s v=""/>
    <m/>
    <x v="1"/>
    <x v="2"/>
    <x v="0"/>
    <n v="342.64999389648438"/>
    <x v="2"/>
  </r>
  <r>
    <x v="97"/>
    <d v="2025-01-11T00:00:00"/>
    <x v="36"/>
    <n v="4"/>
    <d v="2025-01-21T00:00:00"/>
    <x v="2"/>
    <x v="0"/>
    <x v="3"/>
    <n v="452.70999145507813"/>
    <x v="0"/>
  </r>
  <r>
    <x v="98"/>
    <d v="2025-02-02T00:00:00"/>
    <x v="3"/>
    <n v="5"/>
    <d v="2025-02-16T00:00:00"/>
    <x v="2"/>
    <x v="0"/>
    <x v="2"/>
    <n v="188.94000244140625"/>
    <x v="0"/>
  </r>
  <r>
    <x v="99"/>
    <d v="2025-02-15T00:00:00"/>
    <x v="0"/>
    <s v=""/>
    <m/>
    <x v="2"/>
    <x v="3"/>
    <x v="0"/>
    <n v="635.82000732421875"/>
    <x v="2"/>
  </r>
  <r>
    <x v="100"/>
    <d v="2025-02-18T00:00:00"/>
    <x v="31"/>
    <n v="1"/>
    <d v="2025-03-01T00:00:00"/>
    <x v="2"/>
    <x v="2"/>
    <x v="3"/>
    <n v="497.45001220703125"/>
    <x v="1"/>
  </r>
  <r>
    <x v="101"/>
    <d v="2025-01-24T00:00:00"/>
    <x v="7"/>
    <n v="2"/>
    <d v="2025-01-29T00:00:00"/>
    <x v="1"/>
    <x v="3"/>
    <x v="3"/>
    <n v="162.97999572753906"/>
    <x v="0"/>
  </r>
  <r>
    <x v="102"/>
    <d v="2025-01-20T00:00:00"/>
    <x v="13"/>
    <n v="7"/>
    <d v="2025-01-28T00:00:00"/>
    <x v="2"/>
    <x v="1"/>
    <x v="2"/>
    <n v="515.54998779296875"/>
    <x v="0"/>
  </r>
  <r>
    <x v="103"/>
    <d v="2025-01-22T00:00:00"/>
    <x v="26"/>
    <n v="5"/>
    <d v="2025-01-31T00:00:00"/>
    <x v="2"/>
    <x v="1"/>
    <x v="2"/>
    <n v="966.08001708984375"/>
    <x v="1"/>
  </r>
  <r>
    <x v="104"/>
    <d v="2025-02-13T00:00:00"/>
    <x v="51"/>
    <n v="4"/>
    <d v="2025-02-20T00:00:00"/>
    <x v="1"/>
    <x v="0"/>
    <x v="3"/>
    <n v="676.3599853515625"/>
    <x v="1"/>
  </r>
  <r>
    <x v="105"/>
    <d v="2025-01-28T00:00:00"/>
    <x v="44"/>
    <n v="1"/>
    <d v="2025-02-05T00:00:00"/>
    <x v="2"/>
    <x v="0"/>
    <x v="3"/>
    <n v="1163.56005859375"/>
    <x v="0"/>
  </r>
  <r>
    <x v="106"/>
    <d v="2025-01-14T00:00:00"/>
    <x v="25"/>
    <n v="4"/>
    <d v="2025-01-22T00:00:00"/>
    <x v="0"/>
    <x v="0"/>
    <x v="2"/>
    <n v="1172.0799560546875"/>
    <x v="0"/>
  </r>
  <r>
    <x v="107"/>
    <d v="2025-02-20T00:00:00"/>
    <x v="52"/>
    <n v="2"/>
    <d v="2025-03-03T00:00:00"/>
    <x v="1"/>
    <x v="1"/>
    <x v="1"/>
    <n v="83.029998779296875"/>
    <x v="1"/>
  </r>
  <r>
    <x v="108"/>
    <d v="2025-02-22T00:00:00"/>
    <x v="47"/>
    <n v="5"/>
    <d v="2025-03-01T00:00:00"/>
    <x v="1"/>
    <x v="1"/>
    <x v="3"/>
    <n v="1166.6400146484375"/>
    <x v="0"/>
  </r>
  <r>
    <x v="109"/>
    <d v="2025-02-15T00:00:00"/>
    <x v="10"/>
    <n v="5"/>
    <d v="2025-02-25T00:00:00"/>
    <x v="2"/>
    <x v="0"/>
    <x v="1"/>
    <n v="514.19000244140625"/>
    <x v="0"/>
  </r>
  <r>
    <x v="110"/>
    <d v="2025-01-22T00:00:00"/>
    <x v="30"/>
    <s v=""/>
    <m/>
    <x v="1"/>
    <x v="0"/>
    <x v="0"/>
    <n v="344.67999267578125"/>
    <x v="2"/>
  </r>
  <r>
    <x v="111"/>
    <d v="2025-01-04T00:00:00"/>
    <x v="23"/>
    <n v="2"/>
    <d v="2025-01-15T00:00:00"/>
    <x v="0"/>
    <x v="1"/>
    <x v="1"/>
    <n v="570.57000732421875"/>
    <x v="1"/>
  </r>
  <r>
    <x v="112"/>
    <d v="2025-02-24T00:00:00"/>
    <x v="53"/>
    <n v="7"/>
    <d v="2025-03-13T00:00:00"/>
    <x v="1"/>
    <x v="1"/>
    <x v="3"/>
    <n v="1089.6400146484375"/>
    <x v="1"/>
  </r>
  <r>
    <x v="113"/>
    <d v="2025-01-10T00:00:00"/>
    <x v="25"/>
    <n v="7"/>
    <d v="2025-01-25T00:00:00"/>
    <x v="0"/>
    <x v="1"/>
    <x v="1"/>
    <n v="900.3800048828125"/>
    <x v="1"/>
  </r>
  <r>
    <x v="114"/>
    <d v="2025-02-03T00:00:00"/>
    <x v="8"/>
    <n v="4"/>
    <d v="2025-02-09T00:00:00"/>
    <x v="0"/>
    <x v="2"/>
    <x v="0"/>
    <n v="618.77001953125"/>
    <x v="1"/>
  </r>
  <r>
    <x v="115"/>
    <d v="2025-03-01T00:00:00"/>
    <x v="53"/>
    <n v="3"/>
    <d v="2025-03-09T00:00:00"/>
    <x v="0"/>
    <x v="3"/>
    <x v="0"/>
    <n v="986.510009765625"/>
    <x v="0"/>
  </r>
  <r>
    <x v="116"/>
    <d v="2025-02-16T00:00:00"/>
    <x v="49"/>
    <s v=""/>
    <m/>
    <x v="0"/>
    <x v="0"/>
    <x v="1"/>
    <n v="78.160003662109375"/>
    <x v="2"/>
  </r>
  <r>
    <x v="117"/>
    <d v="2025-02-24T00:00:00"/>
    <x v="53"/>
    <n v="4"/>
    <d v="2025-03-10T00:00:00"/>
    <x v="2"/>
    <x v="0"/>
    <x v="2"/>
    <n v="740.8599853515625"/>
    <x v="0"/>
  </r>
  <r>
    <x v="118"/>
    <d v="2025-02-05T00:00:00"/>
    <x v="54"/>
    <s v=""/>
    <m/>
    <x v="2"/>
    <x v="3"/>
    <x v="1"/>
    <n v="357.92999267578125"/>
    <x v="2"/>
  </r>
  <r>
    <x v="119"/>
    <d v="2025-02-20T00:00:00"/>
    <x v="47"/>
    <n v="3"/>
    <d v="2025-02-27T00:00:00"/>
    <x v="0"/>
    <x v="3"/>
    <x v="1"/>
    <n v="717.6400146484375"/>
    <x v="1"/>
  </r>
  <r>
    <x v="120"/>
    <d v="2025-02-09T00:00:00"/>
    <x v="11"/>
    <s v=""/>
    <m/>
    <x v="0"/>
    <x v="0"/>
    <x v="2"/>
    <n v="394.02999877929688"/>
    <x v="2"/>
  </r>
  <r>
    <x v="121"/>
    <d v="2025-01-27T00:00:00"/>
    <x v="33"/>
    <n v="1"/>
    <d v="2025-02-02T00:00:00"/>
    <x v="2"/>
    <x v="0"/>
    <x v="0"/>
    <n v="59.049999237060547"/>
    <x v="1"/>
  </r>
  <r>
    <x v="122"/>
    <d v="2025-01-09T00:00:00"/>
    <x v="55"/>
    <n v="6"/>
    <d v="2025-01-22T00:00:00"/>
    <x v="2"/>
    <x v="3"/>
    <x v="3"/>
    <n v="743.09002685546875"/>
    <x v="0"/>
  </r>
  <r>
    <x v="123"/>
    <d v="2025-01-07T00:00:00"/>
    <x v="36"/>
    <n v="3"/>
    <d v="2025-01-20T00:00:00"/>
    <x v="0"/>
    <x v="2"/>
    <x v="1"/>
    <n v="1132.4599609375"/>
    <x v="0"/>
  </r>
  <r>
    <x v="124"/>
    <d v="2025-01-16T00:00:00"/>
    <x v="18"/>
    <s v=""/>
    <m/>
    <x v="0"/>
    <x v="2"/>
    <x v="3"/>
    <n v="466.92999267578125"/>
    <x v="2"/>
  </r>
  <r>
    <x v="125"/>
    <d v="2025-01-09T00:00:00"/>
    <x v="36"/>
    <n v="2"/>
    <d v="2025-01-19T00:00:00"/>
    <x v="1"/>
    <x v="3"/>
    <x v="2"/>
    <n v="537.8900146484375"/>
    <x v="0"/>
  </r>
  <r>
    <x v="126"/>
    <d v="2025-02-19T00:00:00"/>
    <x v="15"/>
    <n v="3"/>
    <d v="2025-02-28T00:00:00"/>
    <x v="1"/>
    <x v="3"/>
    <x v="3"/>
    <n v="437.82998657226563"/>
    <x v="0"/>
  </r>
  <r>
    <x v="127"/>
    <d v="2025-02-07T00:00:00"/>
    <x v="43"/>
    <n v="3"/>
    <d v="2025-02-12T00:00:00"/>
    <x v="2"/>
    <x v="2"/>
    <x v="2"/>
    <n v="912.15997314453125"/>
    <x v="1"/>
  </r>
  <r>
    <x v="128"/>
    <d v="2025-02-20T00:00:00"/>
    <x v="29"/>
    <n v="4"/>
    <d v="2025-02-27T00:00:00"/>
    <x v="1"/>
    <x v="1"/>
    <x v="2"/>
    <n v="951.54998779296875"/>
    <x v="0"/>
  </r>
  <r>
    <x v="129"/>
    <d v="2025-01-03T00:00:00"/>
    <x v="23"/>
    <n v="5"/>
    <d v="2025-01-18T00:00:00"/>
    <x v="2"/>
    <x v="0"/>
    <x v="0"/>
    <n v="848.91998291015625"/>
    <x v="1"/>
  </r>
  <r>
    <x v="130"/>
    <d v="2025-02-23T00:00:00"/>
    <x v="15"/>
    <s v=""/>
    <m/>
    <x v="2"/>
    <x v="0"/>
    <x v="1"/>
    <n v="1097.2099609375"/>
    <x v="2"/>
  </r>
  <r>
    <x v="131"/>
    <d v="2025-01-15T00:00:00"/>
    <x v="37"/>
    <n v="1"/>
    <d v="2025-01-24T00:00:00"/>
    <x v="0"/>
    <x v="0"/>
    <x v="2"/>
    <n v="763.70001220703125"/>
    <x v="1"/>
  </r>
  <r>
    <x v="132"/>
    <d v="2025-01-05T00:00:00"/>
    <x v="56"/>
    <n v="7"/>
    <d v="2025-01-19T00:00:00"/>
    <x v="2"/>
    <x v="3"/>
    <x v="2"/>
    <n v="390.489990234375"/>
    <x v="0"/>
  </r>
  <r>
    <x v="133"/>
    <d v="2025-01-06T00:00:00"/>
    <x v="48"/>
    <n v="6"/>
    <d v="2025-01-13T00:00:00"/>
    <x v="1"/>
    <x v="2"/>
    <x v="0"/>
    <n v="508.3800048828125"/>
    <x v="0"/>
  </r>
  <r>
    <x v="134"/>
    <d v="2025-02-12T00:00:00"/>
    <x v="51"/>
    <n v="2"/>
    <d v="2025-02-18T00:00:00"/>
    <x v="2"/>
    <x v="1"/>
    <x v="0"/>
    <n v="413.82000732421875"/>
    <x v="0"/>
  </r>
  <r>
    <x v="135"/>
    <d v="2025-01-26T00:00:00"/>
    <x v="8"/>
    <n v="4"/>
    <d v="2025-02-09T00:00:00"/>
    <x v="1"/>
    <x v="0"/>
    <x v="0"/>
    <n v="627.91998291015625"/>
    <x v="1"/>
  </r>
  <r>
    <x v="136"/>
    <d v="2025-02-17T00:00:00"/>
    <x v="47"/>
    <n v="7"/>
    <d v="2025-03-03T00:00:00"/>
    <x v="2"/>
    <x v="0"/>
    <x v="0"/>
    <n v="1087.5899658203125"/>
    <x v="0"/>
  </r>
  <r>
    <x v="137"/>
    <d v="2025-01-07T00:00:00"/>
    <x v="36"/>
    <n v="7"/>
    <d v="2025-01-24T00:00:00"/>
    <x v="2"/>
    <x v="3"/>
    <x v="0"/>
    <n v="198.91000366210938"/>
    <x v="1"/>
  </r>
  <r>
    <x v="138"/>
    <d v="2025-02-17T00:00:00"/>
    <x v="12"/>
    <n v="1"/>
    <d v="2025-02-23T00:00:00"/>
    <x v="0"/>
    <x v="1"/>
    <x v="2"/>
    <n v="802.96002197265625"/>
    <x v="0"/>
  </r>
  <r>
    <x v="139"/>
    <d v="2025-02-27T00:00:00"/>
    <x v="52"/>
    <n v="4"/>
    <d v="2025-03-05T00:00:00"/>
    <x v="2"/>
    <x v="1"/>
    <x v="3"/>
    <n v="281.739990234375"/>
    <x v="1"/>
  </r>
  <r>
    <x v="140"/>
    <d v="2025-01-03T00:00:00"/>
    <x v="23"/>
    <n v="5"/>
    <d v="2025-01-18T00:00:00"/>
    <x v="2"/>
    <x v="1"/>
    <x v="2"/>
    <n v="1086.5400390625"/>
    <x v="0"/>
  </r>
  <r>
    <x v="141"/>
    <d v="2025-01-27T00:00:00"/>
    <x v="30"/>
    <n v="6"/>
    <d v="2025-02-04T00:00:00"/>
    <x v="2"/>
    <x v="2"/>
    <x v="0"/>
    <n v="1045.3399658203125"/>
    <x v="1"/>
  </r>
  <r>
    <x v="142"/>
    <d v="2025-01-25T00:00:00"/>
    <x v="57"/>
    <s v=""/>
    <m/>
    <x v="0"/>
    <x v="2"/>
    <x v="2"/>
    <n v="401.6400146484375"/>
    <x v="2"/>
  </r>
  <r>
    <x v="143"/>
    <d v="2025-02-06T00:00:00"/>
    <x v="46"/>
    <n v="6"/>
    <d v="2025-02-16T00:00:00"/>
    <x v="2"/>
    <x v="0"/>
    <x v="2"/>
    <n v="252.86000061035156"/>
    <x v="1"/>
  </r>
  <r>
    <x v="144"/>
    <d v="2025-02-28T00:00:00"/>
    <x v="2"/>
    <n v="7"/>
    <d v="2025-03-09T00:00:00"/>
    <x v="2"/>
    <x v="1"/>
    <x v="0"/>
    <n v="482.01998901367188"/>
    <x v="0"/>
  </r>
  <r>
    <x v="145"/>
    <d v="2025-01-10T00:00:00"/>
    <x v="55"/>
    <s v=""/>
    <m/>
    <x v="2"/>
    <x v="1"/>
    <x v="3"/>
    <n v="573.44000244140625"/>
    <x v="2"/>
  </r>
  <r>
    <x v="146"/>
    <d v="2025-02-03T00:00:00"/>
    <x v="45"/>
    <s v=""/>
    <m/>
    <x v="2"/>
    <x v="1"/>
    <x v="2"/>
    <n v="1038.31005859375"/>
    <x v="2"/>
  </r>
  <r>
    <x v="147"/>
    <d v="2025-01-05T00:00:00"/>
    <x v="23"/>
    <n v="7"/>
    <d v="2025-01-20T00:00:00"/>
    <x v="1"/>
    <x v="2"/>
    <x v="0"/>
    <n v="549.27001953125"/>
    <x v="0"/>
  </r>
  <r>
    <x v="148"/>
    <d v="2025-02-19T00:00:00"/>
    <x v="31"/>
    <s v=""/>
    <m/>
    <x v="1"/>
    <x v="3"/>
    <x v="0"/>
    <n v="531.75"/>
    <x v="2"/>
  </r>
  <r>
    <x v="149"/>
    <d v="2025-02-28T00:00:00"/>
    <x v="2"/>
    <n v="5"/>
    <d v="2025-03-07T00:00:00"/>
    <x v="1"/>
    <x v="1"/>
    <x v="0"/>
    <n v="222.53999328613281"/>
    <x v="1"/>
  </r>
  <r>
    <x v="150"/>
    <d v="2025-02-09T00:00:00"/>
    <x v="38"/>
    <n v="6"/>
    <d v="2025-02-18T00:00:00"/>
    <x v="2"/>
    <x v="3"/>
    <x v="2"/>
    <n v="822.989990234375"/>
    <x v="0"/>
  </r>
  <r>
    <x v="151"/>
    <d v="2025-01-19T00:00:00"/>
    <x v="14"/>
    <n v="4"/>
    <d v="2025-01-24T00:00:00"/>
    <x v="0"/>
    <x v="1"/>
    <x v="2"/>
    <n v="193"/>
    <x v="1"/>
  </r>
  <r>
    <x v="152"/>
    <d v="2025-02-12T00:00:00"/>
    <x v="4"/>
    <n v="6"/>
    <d v="2025-02-27T00:00:00"/>
    <x v="1"/>
    <x v="3"/>
    <x v="1"/>
    <n v="641.010009765625"/>
    <x v="1"/>
  </r>
  <r>
    <x v="153"/>
    <d v="2025-01-29T00:00:00"/>
    <x v="44"/>
    <n v="3"/>
    <d v="2025-02-07T00:00:00"/>
    <x v="0"/>
    <x v="2"/>
    <x v="2"/>
    <n v="207.33000183105469"/>
    <x v="0"/>
  </r>
  <r>
    <x v="154"/>
    <d v="2025-01-15T00:00:00"/>
    <x v="36"/>
    <n v="7"/>
    <d v="2025-01-24T00:00:00"/>
    <x v="2"/>
    <x v="3"/>
    <x v="2"/>
    <n v="846.44000244140625"/>
    <x v="0"/>
  </r>
  <r>
    <x v="155"/>
    <d v="2025-01-20T00:00:00"/>
    <x v="13"/>
    <n v="2"/>
    <d v="2025-01-23T00:00:00"/>
    <x v="0"/>
    <x v="2"/>
    <x v="1"/>
    <n v="564.489990234375"/>
    <x v="1"/>
  </r>
  <r>
    <x v="156"/>
    <d v="2025-02-13T00:00:00"/>
    <x v="51"/>
    <n v="6"/>
    <d v="2025-02-22T00:00:00"/>
    <x v="2"/>
    <x v="0"/>
    <x v="2"/>
    <n v="1209.510009765625"/>
    <x v="0"/>
  </r>
  <r>
    <x v="157"/>
    <d v="2025-01-01T00:00:00"/>
    <x v="58"/>
    <n v="3"/>
    <d v="2025-01-08T00:00:00"/>
    <x v="2"/>
    <x v="2"/>
    <x v="1"/>
    <n v="1124.3299560546875"/>
    <x v="0"/>
  </r>
  <r>
    <x v="158"/>
    <d v="2025-01-03T00:00:00"/>
    <x v="42"/>
    <s v=""/>
    <m/>
    <x v="1"/>
    <x v="3"/>
    <x v="0"/>
    <n v="501.20999145507813"/>
    <x v="2"/>
  </r>
  <r>
    <x v="159"/>
    <d v="2025-02-15T00:00:00"/>
    <x v="22"/>
    <n v="3"/>
    <d v="2025-02-20T00:00:00"/>
    <x v="2"/>
    <x v="3"/>
    <x v="2"/>
    <n v="1068.8499755859375"/>
    <x v="0"/>
  </r>
  <r>
    <x v="160"/>
    <d v="2025-01-10T00:00:00"/>
    <x v="41"/>
    <n v="4"/>
    <d v="2025-01-19T00:00:00"/>
    <x v="1"/>
    <x v="1"/>
    <x v="3"/>
    <n v="261.64999389648438"/>
    <x v="1"/>
  </r>
  <r>
    <x v="161"/>
    <d v="2025-01-10T00:00:00"/>
    <x v="36"/>
    <n v="6"/>
    <d v="2025-01-23T00:00:00"/>
    <x v="1"/>
    <x v="2"/>
    <x v="0"/>
    <n v="300.67001342773438"/>
    <x v="1"/>
  </r>
  <r>
    <x v="162"/>
    <d v="2025-02-11T00:00:00"/>
    <x v="0"/>
    <s v=""/>
    <m/>
    <x v="0"/>
    <x v="1"/>
    <x v="3"/>
    <n v="96.849998474121094"/>
    <x v="2"/>
  </r>
  <r>
    <x v="163"/>
    <d v="2025-01-28T00:00:00"/>
    <x v="30"/>
    <n v="6"/>
    <d v="2025-02-04T00:00:00"/>
    <x v="2"/>
    <x v="3"/>
    <x v="3"/>
    <n v="1051.300048828125"/>
    <x v="0"/>
  </r>
  <r>
    <x v="164"/>
    <d v="2025-01-19T00:00:00"/>
    <x v="18"/>
    <n v="3"/>
    <d v="2025-01-25T00:00:00"/>
    <x v="1"/>
    <x v="3"/>
    <x v="2"/>
    <n v="841.030029296875"/>
    <x v="1"/>
  </r>
  <r>
    <x v="165"/>
    <d v="2025-02-26T00:00:00"/>
    <x v="53"/>
    <n v="2"/>
    <d v="2025-03-08T00:00:00"/>
    <x v="0"/>
    <x v="2"/>
    <x v="0"/>
    <n v="1157.25"/>
    <x v="0"/>
  </r>
  <r>
    <x v="166"/>
    <d v="2025-02-20T00:00:00"/>
    <x v="2"/>
    <s v=""/>
    <m/>
    <x v="0"/>
    <x v="0"/>
    <x v="0"/>
    <n v="890.79998779296875"/>
    <x v="2"/>
  </r>
  <r>
    <x v="167"/>
    <d v="2025-02-26T00:00:00"/>
    <x v="28"/>
    <n v="2"/>
    <d v="2025-03-05T00:00:00"/>
    <x v="1"/>
    <x v="3"/>
    <x v="2"/>
    <n v="431.260009765625"/>
    <x v="0"/>
  </r>
  <r>
    <x v="168"/>
    <d v="2025-02-13T00:00:00"/>
    <x v="54"/>
    <n v="1"/>
    <d v="2025-02-15T00:00:00"/>
    <x v="2"/>
    <x v="1"/>
    <x v="0"/>
    <n v="973.71002197265625"/>
    <x v="1"/>
  </r>
  <r>
    <x v="169"/>
    <d v="2025-01-29T00:00:00"/>
    <x v="8"/>
    <n v="1"/>
    <d v="2025-02-06T00:00:00"/>
    <x v="2"/>
    <x v="2"/>
    <x v="1"/>
    <n v="784.92999267578125"/>
    <x v="0"/>
  </r>
  <r>
    <x v="170"/>
    <d v="2025-01-26T00:00:00"/>
    <x v="44"/>
    <n v="4"/>
    <d v="2025-02-08T00:00:00"/>
    <x v="0"/>
    <x v="1"/>
    <x v="2"/>
    <n v="674.41998291015625"/>
    <x v="1"/>
  </r>
  <r>
    <x v="171"/>
    <d v="2025-01-04T00:00:00"/>
    <x v="42"/>
    <s v=""/>
    <m/>
    <x v="1"/>
    <x v="2"/>
    <x v="0"/>
    <n v="734.530029296875"/>
    <x v="2"/>
  </r>
  <r>
    <x v="172"/>
    <d v="2025-02-15T00:00:00"/>
    <x v="0"/>
    <n v="6"/>
    <d v="2025-02-24T00:00:00"/>
    <x v="0"/>
    <x v="3"/>
    <x v="2"/>
    <n v="1078.199951171875"/>
    <x v="0"/>
  </r>
  <r>
    <x v="173"/>
    <d v="2025-01-30T00:00:00"/>
    <x v="43"/>
    <s v=""/>
    <m/>
    <x v="0"/>
    <x v="1"/>
    <x v="1"/>
    <n v="261.45001220703125"/>
    <x v="2"/>
  </r>
  <r>
    <x v="174"/>
    <d v="2025-01-27T00:00:00"/>
    <x v="24"/>
    <n v="7"/>
    <d v="2025-02-10T00:00:00"/>
    <x v="1"/>
    <x v="0"/>
    <x v="0"/>
    <n v="80.480003356933594"/>
    <x v="0"/>
  </r>
  <r>
    <x v="175"/>
    <d v="2025-01-30T00:00:00"/>
    <x v="44"/>
    <s v=""/>
    <m/>
    <x v="2"/>
    <x v="2"/>
    <x v="2"/>
    <n v="1170.3800048828125"/>
    <x v="2"/>
  </r>
  <r>
    <x v="176"/>
    <d v="2025-03-01T00:00:00"/>
    <x v="59"/>
    <s v=""/>
    <m/>
    <x v="1"/>
    <x v="3"/>
    <x v="1"/>
    <n v="695.8900146484375"/>
    <x v="2"/>
  </r>
  <r>
    <x v="177"/>
    <d v="2025-01-10T00:00:00"/>
    <x v="36"/>
    <n v="5"/>
    <d v="2025-01-22T00:00:00"/>
    <x v="1"/>
    <x v="1"/>
    <x v="1"/>
    <n v="766"/>
    <x v="1"/>
  </r>
  <r>
    <x v="178"/>
    <d v="2025-01-09T00:00:00"/>
    <x v="36"/>
    <n v="7"/>
    <d v="2025-01-24T00:00:00"/>
    <x v="1"/>
    <x v="2"/>
    <x v="1"/>
    <n v="724.33001708984375"/>
    <x v="1"/>
  </r>
  <r>
    <x v="179"/>
    <d v="2025-01-05T00:00:00"/>
    <x v="48"/>
    <n v="2"/>
    <d v="2025-01-09T00:00:00"/>
    <x v="1"/>
    <x v="0"/>
    <x v="0"/>
    <n v="271.19000244140625"/>
    <x v="1"/>
  </r>
  <r>
    <x v="180"/>
    <d v="2025-01-19T00:00:00"/>
    <x v="14"/>
    <n v="3"/>
    <d v="2025-01-23T00:00:00"/>
    <x v="1"/>
    <x v="1"/>
    <x v="3"/>
    <n v="91.680000305175781"/>
    <x v="1"/>
  </r>
  <r>
    <x v="181"/>
    <d v="2025-01-21T00:00:00"/>
    <x v="35"/>
    <n v="2"/>
    <d v="2025-01-27T00:00:00"/>
    <x v="1"/>
    <x v="2"/>
    <x v="0"/>
    <n v="861.71002197265625"/>
    <x v="1"/>
  </r>
  <r>
    <x v="182"/>
    <d v="2025-02-26T00:00:00"/>
    <x v="28"/>
    <n v="6"/>
    <d v="2025-03-09T00:00:00"/>
    <x v="2"/>
    <x v="3"/>
    <x v="2"/>
    <n v="454.19000244140625"/>
    <x v="0"/>
  </r>
  <r>
    <x v="183"/>
    <d v="2025-02-16T00:00:00"/>
    <x v="60"/>
    <n v="2"/>
    <d v="2025-02-21T00:00:00"/>
    <x v="0"/>
    <x v="3"/>
    <x v="0"/>
    <n v="578.53997802734375"/>
    <x v="0"/>
  </r>
  <r>
    <x v="184"/>
    <d v="2025-01-20T00:00:00"/>
    <x v="30"/>
    <n v="3"/>
    <d v="2025-02-01T00:00:00"/>
    <x v="2"/>
    <x v="1"/>
    <x v="1"/>
    <n v="694.33001708984375"/>
    <x v="1"/>
  </r>
  <r>
    <x v="185"/>
    <d v="2025-01-10T00:00:00"/>
    <x v="56"/>
    <n v="1"/>
    <d v="2025-01-13T00:00:00"/>
    <x v="0"/>
    <x v="1"/>
    <x v="0"/>
    <n v="1154.97998046875"/>
    <x v="1"/>
  </r>
  <r>
    <x v="186"/>
    <d v="2025-01-24T00:00:00"/>
    <x v="61"/>
    <n v="4"/>
    <d v="2025-02-06T00:00:00"/>
    <x v="0"/>
    <x v="3"/>
    <x v="1"/>
    <n v="179.22999572753906"/>
    <x v="1"/>
  </r>
  <r>
    <x v="187"/>
    <d v="2025-02-10T00:00:00"/>
    <x v="38"/>
    <s v=""/>
    <m/>
    <x v="2"/>
    <x v="3"/>
    <x v="1"/>
    <n v="829.96002197265625"/>
    <x v="2"/>
  </r>
  <r>
    <x v="188"/>
    <d v="2025-02-02T00:00:00"/>
    <x v="8"/>
    <n v="4"/>
    <d v="2025-02-09T00:00:00"/>
    <x v="1"/>
    <x v="1"/>
    <x v="1"/>
    <n v="447.10000610351563"/>
    <x v="0"/>
  </r>
  <r>
    <x v="189"/>
    <d v="2025-02-28T00:00:00"/>
    <x v="28"/>
    <n v="2"/>
    <d v="2025-03-05T00:00:00"/>
    <x v="1"/>
    <x v="1"/>
    <x v="1"/>
    <n v="713.78997802734375"/>
    <x v="1"/>
  </r>
  <r>
    <x v="190"/>
    <d v="2025-01-19T00:00:00"/>
    <x v="13"/>
    <s v=""/>
    <m/>
    <x v="0"/>
    <x v="2"/>
    <x v="1"/>
    <n v="431.45001220703125"/>
    <x v="2"/>
  </r>
  <r>
    <x v="191"/>
    <d v="2025-01-03T00:00:00"/>
    <x v="23"/>
    <n v="2"/>
    <d v="2025-01-15T00:00:00"/>
    <x v="1"/>
    <x v="1"/>
    <x v="3"/>
    <n v="1076.449951171875"/>
    <x v="0"/>
  </r>
  <r>
    <x v="192"/>
    <d v="2025-01-13T00:00:00"/>
    <x v="41"/>
    <n v="1"/>
    <d v="2025-01-16T00:00:00"/>
    <x v="1"/>
    <x v="1"/>
    <x v="3"/>
    <n v="943.47998046875"/>
    <x v="0"/>
  </r>
  <r>
    <x v="193"/>
    <d v="2025-01-04T00:00:00"/>
    <x v="48"/>
    <n v="7"/>
    <d v="2025-01-14T00:00:00"/>
    <x v="2"/>
    <x v="3"/>
    <x v="3"/>
    <n v="1129.989990234375"/>
    <x v="1"/>
  </r>
  <r>
    <x v="194"/>
    <d v="2025-01-31T00:00:00"/>
    <x v="45"/>
    <n v="4"/>
    <d v="2025-02-10T00:00:00"/>
    <x v="0"/>
    <x v="3"/>
    <x v="0"/>
    <n v="193.07000732421875"/>
    <x v="1"/>
  </r>
  <r>
    <x v="195"/>
    <d v="2025-02-23T00:00:00"/>
    <x v="6"/>
    <n v="7"/>
    <d v="2025-03-12T00:00:00"/>
    <x v="0"/>
    <x v="3"/>
    <x v="1"/>
    <n v="605.6099853515625"/>
    <x v="0"/>
  </r>
  <r>
    <x v="196"/>
    <d v="2025-02-14T00:00:00"/>
    <x v="4"/>
    <n v="1"/>
    <d v="2025-02-22T00:00:00"/>
    <x v="0"/>
    <x v="2"/>
    <x v="1"/>
    <n v="1101.300048828125"/>
    <x v="1"/>
  </r>
  <r>
    <x v="197"/>
    <d v="2025-02-01T00:00:00"/>
    <x v="45"/>
    <s v=""/>
    <m/>
    <x v="1"/>
    <x v="0"/>
    <x v="3"/>
    <n v="907.3499755859375"/>
    <x v="2"/>
  </r>
  <r>
    <x v="198"/>
    <d v="2025-01-04T00:00:00"/>
    <x v="21"/>
    <n v="4"/>
    <d v="2025-01-14T00:00:00"/>
    <x v="1"/>
    <x v="2"/>
    <x v="3"/>
    <n v="1013.2000122070313"/>
    <x v="0"/>
  </r>
  <r>
    <x v="199"/>
    <d v="2025-01-21T00:00:00"/>
    <x v="27"/>
    <s v=""/>
    <m/>
    <x v="0"/>
    <x v="2"/>
    <x v="3"/>
    <n v="319.42001342773438"/>
    <x v="2"/>
  </r>
  <r>
    <x v="200"/>
    <d v="2025-01-24T00:00:00"/>
    <x v="61"/>
    <n v="2"/>
    <d v="2025-02-04T00:00:00"/>
    <x v="2"/>
    <x v="1"/>
    <x v="2"/>
    <n v="1130.8399658203125"/>
    <x v="0"/>
  </r>
  <r>
    <x v="201"/>
    <d v="2025-01-12T00:00:00"/>
    <x v="41"/>
    <n v="2"/>
    <d v="2025-01-17T00:00:00"/>
    <x v="1"/>
    <x v="0"/>
    <x v="2"/>
    <n v="831.08001708984375"/>
    <x v="1"/>
  </r>
  <r>
    <x v="202"/>
    <d v="2025-01-10T00:00:00"/>
    <x v="56"/>
    <s v=""/>
    <m/>
    <x v="2"/>
    <x v="0"/>
    <x v="1"/>
    <n v="802.65997314453125"/>
    <x v="2"/>
  </r>
  <r>
    <x v="203"/>
    <d v="2025-02-13T00:00:00"/>
    <x v="0"/>
    <n v="6"/>
    <d v="2025-02-24T00:00:00"/>
    <x v="1"/>
    <x v="0"/>
    <x v="0"/>
    <n v="232.61000061035156"/>
    <x v="1"/>
  </r>
  <r>
    <x v="204"/>
    <d v="2025-01-10T00:00:00"/>
    <x v="36"/>
    <n v="6"/>
    <d v="2025-01-23T00:00:00"/>
    <x v="2"/>
    <x v="3"/>
    <x v="0"/>
    <n v="439.45999145507813"/>
    <x v="0"/>
  </r>
  <r>
    <x v="205"/>
    <d v="2025-01-11T00:00:00"/>
    <x v="25"/>
    <n v="7"/>
    <d v="2025-01-25T00:00:00"/>
    <x v="2"/>
    <x v="1"/>
    <x v="0"/>
    <n v="178.55999755859375"/>
    <x v="1"/>
  </r>
  <r>
    <x v="206"/>
    <d v="2025-01-06T00:00:00"/>
    <x v="48"/>
    <n v="2"/>
    <d v="2025-01-09T00:00:00"/>
    <x v="1"/>
    <x v="2"/>
    <x v="1"/>
    <n v="743.34002685546875"/>
    <x v="0"/>
  </r>
  <r>
    <x v="207"/>
    <d v="2025-01-01T00:00:00"/>
    <x v="62"/>
    <s v=""/>
    <m/>
    <x v="1"/>
    <x v="3"/>
    <x v="0"/>
    <n v="597.3599853515625"/>
    <x v="2"/>
  </r>
  <r>
    <x v="208"/>
    <d v="2025-01-15T00:00:00"/>
    <x v="35"/>
    <n v="4"/>
    <d v="2025-01-29T00:00:00"/>
    <x v="1"/>
    <x v="1"/>
    <x v="2"/>
    <n v="295.27999877929688"/>
    <x v="1"/>
  </r>
  <r>
    <x v="209"/>
    <d v="2025-02-18T00:00:00"/>
    <x v="60"/>
    <n v="1"/>
    <d v="2025-02-20T00:00:00"/>
    <x v="1"/>
    <x v="3"/>
    <x v="3"/>
    <n v="1090.969970703125"/>
    <x v="0"/>
  </r>
  <r>
    <x v="210"/>
    <d v="2025-02-17T00:00:00"/>
    <x v="47"/>
    <n v="7"/>
    <d v="2025-03-03T00:00:00"/>
    <x v="2"/>
    <x v="3"/>
    <x v="0"/>
    <n v="1149.780029296875"/>
    <x v="0"/>
  </r>
  <r>
    <x v="211"/>
    <d v="2025-02-12T00:00:00"/>
    <x v="51"/>
    <s v=""/>
    <m/>
    <x v="1"/>
    <x v="0"/>
    <x v="1"/>
    <n v="424.17999267578125"/>
    <x v="2"/>
  </r>
  <r>
    <x v="212"/>
    <d v="2025-02-25T00:00:00"/>
    <x v="53"/>
    <n v="1"/>
    <d v="2025-03-07T00:00:00"/>
    <x v="0"/>
    <x v="1"/>
    <x v="3"/>
    <n v="586.1199951171875"/>
    <x v="0"/>
  </r>
  <r>
    <x v="213"/>
    <d v="2025-01-17T00:00:00"/>
    <x v="14"/>
    <n v="6"/>
    <d v="2025-01-26T00:00:00"/>
    <x v="0"/>
    <x v="0"/>
    <x v="1"/>
    <n v="593.5"/>
    <x v="0"/>
  </r>
  <r>
    <x v="214"/>
    <d v="2025-01-19T00:00:00"/>
    <x v="9"/>
    <n v="5"/>
    <d v="2025-02-02T00:00:00"/>
    <x v="2"/>
    <x v="2"/>
    <x v="0"/>
    <n v="1010.97998046875"/>
    <x v="1"/>
  </r>
  <r>
    <x v="215"/>
    <d v="2025-02-19T00:00:00"/>
    <x v="31"/>
    <n v="4"/>
    <d v="2025-03-04T00:00:00"/>
    <x v="1"/>
    <x v="0"/>
    <x v="2"/>
    <n v="939.22998046875"/>
    <x v="0"/>
  </r>
  <r>
    <x v="216"/>
    <d v="2025-01-04T00:00:00"/>
    <x v="63"/>
    <s v=""/>
    <m/>
    <x v="0"/>
    <x v="2"/>
    <x v="3"/>
    <n v="551.79998779296875"/>
    <x v="2"/>
  </r>
  <r>
    <x v="217"/>
    <d v="2025-01-25T00:00:00"/>
    <x v="61"/>
    <n v="5"/>
    <d v="2025-02-07T00:00:00"/>
    <x v="2"/>
    <x v="3"/>
    <x v="1"/>
    <n v="451.32000732421875"/>
    <x v="0"/>
  </r>
  <r>
    <x v="218"/>
    <d v="2025-02-08T00:00:00"/>
    <x v="11"/>
    <n v="5"/>
    <d v="2025-02-20T00:00:00"/>
    <x v="2"/>
    <x v="3"/>
    <x v="3"/>
    <n v="1011.739990234375"/>
    <x v="0"/>
  </r>
  <r>
    <x v="219"/>
    <d v="2025-02-08T00:00:00"/>
    <x v="43"/>
    <n v="7"/>
    <d v="2025-02-16T00:00:00"/>
    <x v="1"/>
    <x v="3"/>
    <x v="0"/>
    <n v="302.48001098632813"/>
    <x v="1"/>
  </r>
  <r>
    <x v="220"/>
    <d v="2025-02-06T00:00:00"/>
    <x v="3"/>
    <n v="3"/>
    <d v="2025-02-14T00:00:00"/>
    <x v="2"/>
    <x v="2"/>
    <x v="0"/>
    <n v="452.55999755859375"/>
    <x v="0"/>
  </r>
  <r>
    <x v="221"/>
    <d v="2025-01-06T00:00:00"/>
    <x v="23"/>
    <n v="6"/>
    <d v="2025-01-19T00:00:00"/>
    <x v="2"/>
    <x v="2"/>
    <x v="0"/>
    <n v="690.05999755859375"/>
    <x v="0"/>
  </r>
  <r>
    <x v="222"/>
    <d v="2025-01-31T00:00:00"/>
    <x v="43"/>
    <n v="7"/>
    <d v="2025-02-16T00:00:00"/>
    <x v="2"/>
    <x v="0"/>
    <x v="3"/>
    <n v="166.89999389648438"/>
    <x v="0"/>
  </r>
  <r>
    <x v="223"/>
    <d v="2025-01-15T00:00:00"/>
    <x v="55"/>
    <n v="3"/>
    <d v="2025-01-19T00:00:00"/>
    <x v="0"/>
    <x v="3"/>
    <x v="0"/>
    <n v="1186.3800048828125"/>
    <x v="1"/>
  </r>
  <r>
    <x v="224"/>
    <d v="2025-02-03T00:00:00"/>
    <x v="34"/>
    <n v="5"/>
    <d v="2025-02-13T00:00:00"/>
    <x v="0"/>
    <x v="2"/>
    <x v="3"/>
    <n v="21.350000381469727"/>
    <x v="0"/>
  </r>
  <r>
    <x v="225"/>
    <d v="2025-01-09T00:00:00"/>
    <x v="25"/>
    <n v="6"/>
    <d v="2025-01-24T00:00:00"/>
    <x v="2"/>
    <x v="0"/>
    <x v="2"/>
    <n v="338.1300048828125"/>
    <x v="0"/>
  </r>
  <r>
    <x v="226"/>
    <d v="2025-01-23T00:00:00"/>
    <x v="30"/>
    <n v="1"/>
    <d v="2025-01-30T00:00:00"/>
    <x v="0"/>
    <x v="0"/>
    <x v="1"/>
    <n v="946"/>
    <x v="1"/>
  </r>
  <r>
    <x v="227"/>
    <d v="2025-02-20T00:00:00"/>
    <x v="52"/>
    <n v="2"/>
    <d v="2025-03-03T00:00:00"/>
    <x v="0"/>
    <x v="1"/>
    <x v="2"/>
    <n v="516.219970703125"/>
    <x v="0"/>
  </r>
  <r>
    <x v="228"/>
    <d v="2025-01-19T00:00:00"/>
    <x v="13"/>
    <n v="1"/>
    <d v="2025-01-22T00:00:00"/>
    <x v="1"/>
    <x v="1"/>
    <x v="0"/>
    <n v="828.8499755859375"/>
    <x v="1"/>
  </r>
  <r>
    <x v="229"/>
    <d v="2025-02-27T00:00:00"/>
    <x v="52"/>
    <n v="7"/>
    <d v="2025-03-08T00:00:00"/>
    <x v="0"/>
    <x v="0"/>
    <x v="1"/>
    <n v="301.45999145507813"/>
    <x v="1"/>
  </r>
  <r>
    <x v="230"/>
    <d v="2025-01-02T00:00:00"/>
    <x v="64"/>
    <n v="5"/>
    <d v="2025-01-08T00:00:00"/>
    <x v="2"/>
    <x v="1"/>
    <x v="3"/>
    <n v="952.30999755859375"/>
    <x v="1"/>
  </r>
  <r>
    <x v="231"/>
    <d v="2025-01-15T00:00:00"/>
    <x v="18"/>
    <n v="1"/>
    <d v="2025-01-23T00:00:00"/>
    <x v="0"/>
    <x v="3"/>
    <x v="0"/>
    <n v="993.80999755859375"/>
    <x v="0"/>
  </r>
  <r>
    <x v="232"/>
    <d v="2025-02-11T00:00:00"/>
    <x v="22"/>
    <s v=""/>
    <m/>
    <x v="2"/>
    <x v="3"/>
    <x v="3"/>
    <n v="289.83999633789063"/>
    <x v="2"/>
  </r>
  <r>
    <x v="233"/>
    <d v="2025-02-14T00:00:00"/>
    <x v="4"/>
    <n v="3"/>
    <d v="2025-02-24T00:00:00"/>
    <x v="0"/>
    <x v="1"/>
    <x v="3"/>
    <n v="322.1300048828125"/>
    <x v="0"/>
  </r>
  <r>
    <x v="234"/>
    <d v="2025-01-17T00:00:00"/>
    <x v="25"/>
    <n v="6"/>
    <d v="2025-01-24T00:00:00"/>
    <x v="0"/>
    <x v="1"/>
    <x v="1"/>
    <n v="963.8599853515625"/>
    <x v="0"/>
  </r>
  <r>
    <x v="235"/>
    <d v="2025-02-09T00:00:00"/>
    <x v="3"/>
    <s v=""/>
    <m/>
    <x v="0"/>
    <x v="3"/>
    <x v="3"/>
    <n v="933.42999267578125"/>
    <x v="2"/>
  </r>
  <r>
    <x v="236"/>
    <d v="2025-01-29T00:00:00"/>
    <x v="61"/>
    <n v="3"/>
    <d v="2025-02-05T00:00:00"/>
    <x v="0"/>
    <x v="3"/>
    <x v="1"/>
    <n v="131.08000183105469"/>
    <x v="1"/>
  </r>
  <r>
    <x v="237"/>
    <d v="2025-01-22T00:00:00"/>
    <x v="35"/>
    <n v="3"/>
    <d v="2025-01-28T00:00:00"/>
    <x v="1"/>
    <x v="1"/>
    <x v="1"/>
    <n v="923.30999755859375"/>
    <x v="0"/>
  </r>
  <r>
    <x v="238"/>
    <d v="2025-02-27T00:00:00"/>
    <x v="52"/>
    <n v="2"/>
    <d v="2025-03-03T00:00:00"/>
    <x v="0"/>
    <x v="1"/>
    <x v="2"/>
    <n v="540.1099853515625"/>
    <x v="0"/>
  </r>
  <r>
    <x v="239"/>
    <d v="2025-02-09T00:00:00"/>
    <x v="11"/>
    <n v="7"/>
    <d v="2025-02-22T00:00:00"/>
    <x v="0"/>
    <x v="1"/>
    <x v="3"/>
    <n v="1025.3599853515625"/>
    <x v="1"/>
  </r>
  <r>
    <x v="240"/>
    <d v="2025-01-17T00:00:00"/>
    <x v="20"/>
    <n v="1"/>
    <d v="2025-01-20T00:00:00"/>
    <x v="2"/>
    <x v="0"/>
    <x v="1"/>
    <n v="349.47000122070313"/>
    <x v="1"/>
  </r>
  <r>
    <x v="241"/>
    <d v="2025-01-04T00:00:00"/>
    <x v="42"/>
    <n v="7"/>
    <d v="2025-01-18T00:00:00"/>
    <x v="0"/>
    <x v="2"/>
    <x v="1"/>
    <n v="796.8499755859375"/>
    <x v="1"/>
  </r>
  <r>
    <x v="242"/>
    <d v="2025-02-21T00:00:00"/>
    <x v="28"/>
    <n v="7"/>
    <d v="2025-03-10T00:00:00"/>
    <x v="2"/>
    <x v="0"/>
    <x v="3"/>
    <n v="584.03997802734375"/>
    <x v="1"/>
  </r>
  <r>
    <x v="243"/>
    <d v="2025-01-12T00:00:00"/>
    <x v="32"/>
    <n v="6"/>
    <d v="2025-01-20T00:00:00"/>
    <x v="2"/>
    <x v="0"/>
    <x v="2"/>
    <n v="594.69000244140625"/>
    <x v="1"/>
  </r>
  <r>
    <x v="244"/>
    <d v="2025-01-30T00:00:00"/>
    <x v="24"/>
    <s v=""/>
    <m/>
    <x v="2"/>
    <x v="3"/>
    <x v="0"/>
    <n v="151.74000549316406"/>
    <x v="2"/>
  </r>
  <r>
    <x v="245"/>
    <d v="2025-01-02T00:00:00"/>
    <x v="48"/>
    <n v="6"/>
    <d v="2025-01-13T00:00:00"/>
    <x v="0"/>
    <x v="3"/>
    <x v="1"/>
    <n v="1000.8699951171875"/>
    <x v="1"/>
  </r>
  <r>
    <x v="246"/>
    <d v="2025-02-09T00:00:00"/>
    <x v="38"/>
    <n v="3"/>
    <d v="2025-02-15T00:00:00"/>
    <x v="0"/>
    <x v="3"/>
    <x v="2"/>
    <n v="516.20001220703125"/>
    <x v="1"/>
  </r>
  <r>
    <x v="247"/>
    <d v="2025-01-23T00:00:00"/>
    <x v="57"/>
    <n v="7"/>
    <d v="2025-02-07T00:00:00"/>
    <x v="0"/>
    <x v="2"/>
    <x v="0"/>
    <n v="1152.6400146484375"/>
    <x v="1"/>
  </r>
  <r>
    <x v="248"/>
    <d v="2025-02-19T00:00:00"/>
    <x v="19"/>
    <n v="2"/>
    <d v="2025-03-01T00:00:00"/>
    <x v="0"/>
    <x v="3"/>
    <x v="1"/>
    <n v="113.08000183105469"/>
    <x v="0"/>
  </r>
  <r>
    <x v="249"/>
    <d v="2025-02-20T00:00:00"/>
    <x v="4"/>
    <n v="2"/>
    <d v="2025-02-23T00:00:00"/>
    <x v="1"/>
    <x v="1"/>
    <x v="2"/>
    <n v="109.73999786376953"/>
    <x v="0"/>
  </r>
  <r>
    <x v="250"/>
    <d v="2025-01-25T00:00:00"/>
    <x v="33"/>
    <n v="4"/>
    <d v="2025-02-05T00:00:00"/>
    <x v="1"/>
    <x v="2"/>
    <x v="0"/>
    <n v="634.280029296875"/>
    <x v="0"/>
  </r>
  <r>
    <x v="251"/>
    <d v="2025-02-05T00:00:00"/>
    <x v="54"/>
    <n v="2"/>
    <d v="2025-02-16T00:00:00"/>
    <x v="1"/>
    <x v="0"/>
    <x v="2"/>
    <n v="566.280029296875"/>
    <x v="0"/>
  </r>
  <r>
    <x v="252"/>
    <d v="2025-02-17T00:00:00"/>
    <x v="29"/>
    <s v=""/>
    <m/>
    <x v="1"/>
    <x v="3"/>
    <x v="3"/>
    <n v="220.77999877929688"/>
    <x v="2"/>
  </r>
  <r>
    <x v="253"/>
    <d v="2025-02-17T00:00:00"/>
    <x v="47"/>
    <n v="1"/>
    <d v="2025-02-25T00:00:00"/>
    <x v="0"/>
    <x v="1"/>
    <x v="1"/>
    <n v="995.41998291015625"/>
    <x v="0"/>
  </r>
  <r>
    <x v="254"/>
    <d v="2025-01-22T00:00:00"/>
    <x v="57"/>
    <n v="2"/>
    <d v="2025-02-02T00:00:00"/>
    <x v="1"/>
    <x v="0"/>
    <x v="0"/>
    <n v="59.200000762939453"/>
    <x v="1"/>
  </r>
  <r>
    <x v="255"/>
    <d v="2025-01-11T00:00:00"/>
    <x v="20"/>
    <n v="6"/>
    <d v="2025-01-25T00:00:00"/>
    <x v="1"/>
    <x v="2"/>
    <x v="0"/>
    <n v="750.239990234375"/>
    <x v="1"/>
  </r>
  <r>
    <x v="256"/>
    <d v="2025-01-29T00:00:00"/>
    <x v="45"/>
    <s v=""/>
    <m/>
    <x v="1"/>
    <x v="2"/>
    <x v="2"/>
    <n v="331.67001342773438"/>
    <x v="2"/>
  </r>
  <r>
    <x v="257"/>
    <d v="2025-01-09T00:00:00"/>
    <x v="25"/>
    <n v="3"/>
    <d v="2025-01-21T00:00:00"/>
    <x v="2"/>
    <x v="1"/>
    <x v="3"/>
    <n v="97.970001220703125"/>
    <x v="1"/>
  </r>
  <r>
    <x v="258"/>
    <d v="2025-02-04T00:00:00"/>
    <x v="8"/>
    <n v="5"/>
    <d v="2025-02-10T00:00:00"/>
    <x v="2"/>
    <x v="0"/>
    <x v="1"/>
    <n v="864.8499755859375"/>
    <x v="1"/>
  </r>
  <r>
    <x v="259"/>
    <d v="2025-02-22T00:00:00"/>
    <x v="52"/>
    <n v="2"/>
    <d v="2025-03-03T00:00:00"/>
    <x v="0"/>
    <x v="1"/>
    <x v="1"/>
    <n v="603.8800048828125"/>
    <x v="0"/>
  </r>
  <r>
    <x v="260"/>
    <d v="2025-02-06T00:00:00"/>
    <x v="38"/>
    <n v="2"/>
    <d v="2025-02-14T00:00:00"/>
    <x v="1"/>
    <x v="3"/>
    <x v="1"/>
    <n v="610.55999755859375"/>
    <x v="0"/>
  </r>
  <r>
    <x v="261"/>
    <d v="2025-01-18T00:00:00"/>
    <x v="14"/>
    <s v=""/>
    <m/>
    <x v="2"/>
    <x v="1"/>
    <x v="3"/>
    <n v="921.6400146484375"/>
    <x v="2"/>
  </r>
  <r>
    <x v="262"/>
    <d v="2025-02-10T00:00:00"/>
    <x v="60"/>
    <n v="5"/>
    <d v="2025-02-24T00:00:00"/>
    <x v="1"/>
    <x v="1"/>
    <x v="3"/>
    <n v="168.86000061035156"/>
    <x v="0"/>
  </r>
  <r>
    <x v="263"/>
    <d v="2025-02-21T00:00:00"/>
    <x v="12"/>
    <n v="3"/>
    <d v="2025-02-25T00:00:00"/>
    <x v="0"/>
    <x v="3"/>
    <x v="0"/>
    <n v="480.04998779296875"/>
    <x v="0"/>
  </r>
  <r>
    <x v="264"/>
    <d v="2025-02-03T00:00:00"/>
    <x v="34"/>
    <n v="3"/>
    <d v="2025-02-11T00:00:00"/>
    <x v="2"/>
    <x v="0"/>
    <x v="3"/>
    <n v="213.69999694824219"/>
    <x v="1"/>
  </r>
  <r>
    <x v="265"/>
    <d v="2025-01-15T00:00:00"/>
    <x v="13"/>
    <s v=""/>
    <m/>
    <x v="0"/>
    <x v="2"/>
    <x v="2"/>
    <n v="402.67001342773438"/>
    <x v="2"/>
  </r>
  <r>
    <x v="266"/>
    <d v="2025-01-04T00:00:00"/>
    <x v="58"/>
    <s v=""/>
    <m/>
    <x v="0"/>
    <x v="0"/>
    <x v="0"/>
    <n v="33.340000152587891"/>
    <x v="2"/>
  </r>
  <r>
    <x v="267"/>
    <d v="2025-01-21T00:00:00"/>
    <x v="27"/>
    <n v="5"/>
    <d v="2025-01-29T00:00:00"/>
    <x v="0"/>
    <x v="2"/>
    <x v="2"/>
    <n v="114.12999725341797"/>
    <x v="0"/>
  </r>
  <r>
    <x v="268"/>
    <d v="2025-02-23T00:00:00"/>
    <x v="49"/>
    <n v="4"/>
    <d v="2025-03-02T00:00:00"/>
    <x v="0"/>
    <x v="1"/>
    <x v="2"/>
    <n v="115.62999725341797"/>
    <x v="0"/>
  </r>
  <r>
    <x v="269"/>
    <d v="2025-02-19T00:00:00"/>
    <x v="19"/>
    <n v="5"/>
    <d v="2025-03-04T00:00:00"/>
    <x v="0"/>
    <x v="2"/>
    <x v="2"/>
    <n v="1099.760009765625"/>
    <x v="0"/>
  </r>
  <r>
    <x v="270"/>
    <d v="2025-02-22T00:00:00"/>
    <x v="52"/>
    <n v="7"/>
    <d v="2025-03-08T00:00:00"/>
    <x v="2"/>
    <x v="1"/>
    <x v="0"/>
    <n v="237.22000122070313"/>
    <x v="0"/>
  </r>
  <r>
    <x v="271"/>
    <d v="2025-02-12T00:00:00"/>
    <x v="60"/>
    <n v="1"/>
    <d v="2025-02-20T00:00:00"/>
    <x v="0"/>
    <x v="0"/>
    <x v="1"/>
    <n v="1063.989990234375"/>
    <x v="1"/>
  </r>
  <r>
    <x v="272"/>
    <d v="2025-01-28T00:00:00"/>
    <x v="17"/>
    <n v="7"/>
    <d v="2025-02-14T00:00:00"/>
    <x v="1"/>
    <x v="2"/>
    <x v="3"/>
    <n v="1137.719970703125"/>
    <x v="0"/>
  </r>
  <r>
    <x v="273"/>
    <d v="2025-02-24T00:00:00"/>
    <x v="6"/>
    <s v=""/>
    <m/>
    <x v="0"/>
    <x v="3"/>
    <x v="2"/>
    <n v="382.8900146484375"/>
    <x v="2"/>
  </r>
  <r>
    <x v="274"/>
    <d v="2025-02-01T00:00:00"/>
    <x v="34"/>
    <n v="3"/>
    <d v="2025-02-11T00:00:00"/>
    <x v="1"/>
    <x v="2"/>
    <x v="3"/>
    <n v="803.6099853515625"/>
    <x v="0"/>
  </r>
  <r>
    <x v="275"/>
    <d v="2025-01-24T00:00:00"/>
    <x v="30"/>
    <n v="6"/>
    <d v="2025-02-04T00:00:00"/>
    <x v="1"/>
    <x v="0"/>
    <x v="1"/>
    <n v="1070.1199951171875"/>
    <x v="1"/>
  </r>
  <r>
    <x v="276"/>
    <d v="2025-02-09T00:00:00"/>
    <x v="1"/>
    <n v="3"/>
    <d v="2025-02-16T00:00:00"/>
    <x v="1"/>
    <x v="2"/>
    <x v="3"/>
    <n v="1043.800048828125"/>
    <x v="1"/>
  </r>
  <r>
    <x v="277"/>
    <d v="2025-01-06T00:00:00"/>
    <x v="56"/>
    <n v="1"/>
    <d v="2025-01-13T00:00:00"/>
    <x v="2"/>
    <x v="1"/>
    <x v="1"/>
    <n v="413.77999877929688"/>
    <x v="1"/>
  </r>
  <r>
    <x v="278"/>
    <d v="2025-02-01T00:00:00"/>
    <x v="43"/>
    <n v="5"/>
    <d v="2025-02-14T00:00:00"/>
    <x v="0"/>
    <x v="2"/>
    <x v="1"/>
    <n v="758.91998291015625"/>
    <x v="1"/>
  </r>
  <r>
    <x v="279"/>
    <d v="2025-02-22T00:00:00"/>
    <x v="47"/>
    <s v=""/>
    <m/>
    <x v="2"/>
    <x v="2"/>
    <x v="2"/>
    <n v="943.53997802734375"/>
    <x v="2"/>
  </r>
  <r>
    <x v="280"/>
    <d v="2025-01-06T00:00:00"/>
    <x v="21"/>
    <n v="2"/>
    <d v="2025-01-12T00:00:00"/>
    <x v="1"/>
    <x v="1"/>
    <x v="1"/>
    <n v="472.5"/>
    <x v="0"/>
  </r>
  <r>
    <x v="281"/>
    <d v="2025-01-12T00:00:00"/>
    <x v="55"/>
    <n v="3"/>
    <d v="2025-01-19T00:00:00"/>
    <x v="0"/>
    <x v="2"/>
    <x v="3"/>
    <n v="351.41000366210938"/>
    <x v="0"/>
  </r>
  <r>
    <x v="282"/>
    <d v="2025-01-13T00:00:00"/>
    <x v="14"/>
    <n v="6"/>
    <d v="2025-01-26T00:00:00"/>
    <x v="1"/>
    <x v="3"/>
    <x v="3"/>
    <n v="836.30999755859375"/>
    <x v="1"/>
  </r>
  <r>
    <x v="283"/>
    <d v="2025-01-30T00:00:00"/>
    <x v="57"/>
    <n v="6"/>
    <d v="2025-02-06T00:00:00"/>
    <x v="1"/>
    <x v="1"/>
    <x v="2"/>
    <n v="1160.6199951171875"/>
    <x v="0"/>
  </r>
  <r>
    <x v="284"/>
    <d v="2025-02-18T00:00:00"/>
    <x v="15"/>
    <n v="3"/>
    <d v="2025-02-28T00:00:00"/>
    <x v="2"/>
    <x v="2"/>
    <x v="1"/>
    <n v="941.66998291015625"/>
    <x v="0"/>
  </r>
  <r>
    <x v="285"/>
    <d v="2025-02-26T00:00:00"/>
    <x v="6"/>
    <n v="1"/>
    <d v="2025-03-06T00:00:00"/>
    <x v="0"/>
    <x v="0"/>
    <x v="3"/>
    <n v="420.51998901367188"/>
    <x v="1"/>
  </r>
  <r>
    <x v="286"/>
    <d v="2025-01-27T00:00:00"/>
    <x v="45"/>
    <n v="5"/>
    <d v="2025-02-11T00:00:00"/>
    <x v="2"/>
    <x v="2"/>
    <x v="0"/>
    <n v="220.14999389648438"/>
    <x v="1"/>
  </r>
  <r>
    <x v="287"/>
    <d v="2025-02-04T00:00:00"/>
    <x v="34"/>
    <n v="5"/>
    <d v="2025-02-13T00:00:00"/>
    <x v="2"/>
    <x v="1"/>
    <x v="2"/>
    <n v="469.48001098632813"/>
    <x v="1"/>
  </r>
  <r>
    <x v="288"/>
    <d v="2025-02-20T00:00:00"/>
    <x v="52"/>
    <s v=""/>
    <m/>
    <x v="0"/>
    <x v="1"/>
    <x v="3"/>
    <n v="154.47999572753906"/>
    <x v="2"/>
  </r>
  <r>
    <x v="289"/>
    <d v="2025-01-06T00:00:00"/>
    <x v="32"/>
    <n v="4"/>
    <d v="2025-01-18T00:00:00"/>
    <x v="2"/>
    <x v="3"/>
    <x v="1"/>
    <n v="37.680000305175781"/>
    <x v="0"/>
  </r>
  <r>
    <x v="290"/>
    <d v="2025-02-16T00:00:00"/>
    <x v="4"/>
    <s v=""/>
    <m/>
    <x v="0"/>
    <x v="1"/>
    <x v="0"/>
    <n v="545.90997314453125"/>
    <x v="2"/>
  </r>
  <r>
    <x v="291"/>
    <d v="2025-02-01T00:00:00"/>
    <x v="44"/>
    <n v="4"/>
    <d v="2025-02-08T00:00:00"/>
    <x v="1"/>
    <x v="2"/>
    <x v="1"/>
    <n v="693.15997314453125"/>
    <x v="1"/>
  </r>
  <r>
    <x v="292"/>
    <d v="2025-02-18T00:00:00"/>
    <x v="12"/>
    <n v="4"/>
    <d v="2025-02-26T00:00:00"/>
    <x v="2"/>
    <x v="2"/>
    <x v="2"/>
    <n v="1104.5"/>
    <x v="1"/>
  </r>
  <r>
    <x v="293"/>
    <d v="2025-02-23T00:00:00"/>
    <x v="6"/>
    <n v="1"/>
    <d v="2025-03-06T00:00:00"/>
    <x v="1"/>
    <x v="1"/>
    <x v="2"/>
    <n v="864.22998046875"/>
    <x v="1"/>
  </r>
  <r>
    <x v="294"/>
    <d v="2025-02-21T00:00:00"/>
    <x v="15"/>
    <s v=""/>
    <m/>
    <x v="0"/>
    <x v="2"/>
    <x v="3"/>
    <n v="215.41000366210938"/>
    <x v="2"/>
  </r>
  <r>
    <x v="295"/>
    <d v="2025-02-26T00:00:00"/>
    <x v="2"/>
    <n v="7"/>
    <d v="2025-03-09T00:00:00"/>
    <x v="2"/>
    <x v="2"/>
    <x v="1"/>
    <n v="1179.1500244140625"/>
    <x v="1"/>
  </r>
  <r>
    <x v="296"/>
    <d v="2025-02-15T00:00:00"/>
    <x v="12"/>
    <n v="3"/>
    <d v="2025-02-25T00:00:00"/>
    <x v="1"/>
    <x v="3"/>
    <x v="0"/>
    <n v="576.1199951171875"/>
    <x v="0"/>
  </r>
  <r>
    <x v="297"/>
    <d v="2025-01-02T00:00:00"/>
    <x v="58"/>
    <n v="3"/>
    <d v="2025-01-08T00:00:00"/>
    <x v="1"/>
    <x v="1"/>
    <x v="2"/>
    <n v="601.219970703125"/>
    <x v="1"/>
  </r>
  <r>
    <x v="298"/>
    <d v="2025-02-18T00:00:00"/>
    <x v="12"/>
    <s v=""/>
    <m/>
    <x v="0"/>
    <x v="2"/>
    <x v="0"/>
    <n v="510.3900146484375"/>
    <x v="2"/>
  </r>
  <r>
    <x v="299"/>
    <d v="2025-02-14T00:00:00"/>
    <x v="60"/>
    <n v="3"/>
    <d v="2025-02-22T00:00:00"/>
    <x v="2"/>
    <x v="0"/>
    <x v="2"/>
    <n v="444.3900146484375"/>
    <x v="1"/>
  </r>
  <r>
    <x v="300"/>
    <d v="2025-02-27T00:00:00"/>
    <x v="53"/>
    <n v="2"/>
    <d v="2025-03-08T00:00:00"/>
    <x v="0"/>
    <x v="2"/>
    <x v="2"/>
    <n v="290.89999389648438"/>
    <x v="0"/>
  </r>
  <r>
    <x v="301"/>
    <d v="2025-02-23T00:00:00"/>
    <x v="19"/>
    <n v="5"/>
    <d v="2025-03-04T00:00:00"/>
    <x v="1"/>
    <x v="1"/>
    <x v="3"/>
    <n v="1059.239990234375"/>
    <x v="0"/>
  </r>
  <r>
    <x v="302"/>
    <d v="2025-01-15T00:00:00"/>
    <x v="35"/>
    <n v="1"/>
    <d v="2025-01-26T00:00:00"/>
    <x v="0"/>
    <x v="3"/>
    <x v="0"/>
    <n v="49.209999084472656"/>
    <x v="0"/>
  </r>
  <r>
    <x v="303"/>
    <d v="2025-01-21T00:00:00"/>
    <x v="7"/>
    <n v="3"/>
    <d v="2025-01-30T00:00:00"/>
    <x v="0"/>
    <x v="1"/>
    <x v="0"/>
    <n v="926.8599853515625"/>
    <x v="0"/>
  </r>
  <r>
    <x v="304"/>
    <d v="2025-02-09T00:00:00"/>
    <x v="46"/>
    <n v="7"/>
    <d v="2025-02-17T00:00:00"/>
    <x v="2"/>
    <x v="0"/>
    <x v="3"/>
    <n v="1013.75"/>
    <x v="1"/>
  </r>
  <r>
    <x v="305"/>
    <d v="2025-02-25T00:00:00"/>
    <x v="49"/>
    <n v="2"/>
    <d v="2025-02-28T00:00:00"/>
    <x v="0"/>
    <x v="1"/>
    <x v="0"/>
    <n v="1150.5400390625"/>
    <x v="0"/>
  </r>
  <r>
    <x v="306"/>
    <d v="2025-01-03T00:00:00"/>
    <x v="42"/>
    <s v=""/>
    <m/>
    <x v="1"/>
    <x v="1"/>
    <x v="1"/>
    <n v="403.75"/>
    <x v="2"/>
  </r>
  <r>
    <x v="307"/>
    <d v="2025-02-25T00:00:00"/>
    <x v="28"/>
    <n v="1"/>
    <d v="2025-03-04T00:00:00"/>
    <x v="1"/>
    <x v="2"/>
    <x v="2"/>
    <n v="437.17001342773438"/>
    <x v="1"/>
  </r>
  <r>
    <x v="308"/>
    <d v="2025-02-01T00:00:00"/>
    <x v="61"/>
    <n v="3"/>
    <d v="2025-02-05T00:00:00"/>
    <x v="0"/>
    <x v="2"/>
    <x v="0"/>
    <n v="478.75"/>
    <x v="1"/>
  </r>
  <r>
    <x v="309"/>
    <d v="2025-01-14T00:00:00"/>
    <x v="36"/>
    <n v="6"/>
    <d v="2025-01-23T00:00:00"/>
    <x v="1"/>
    <x v="0"/>
    <x v="1"/>
    <n v="544.27001953125"/>
    <x v="1"/>
  </r>
  <r>
    <x v="310"/>
    <d v="2025-01-29T00:00:00"/>
    <x v="33"/>
    <s v=""/>
    <m/>
    <x v="0"/>
    <x v="2"/>
    <x v="1"/>
    <n v="267.010009765625"/>
    <x v="2"/>
  </r>
  <r>
    <x v="311"/>
    <d v="2025-01-13T00:00:00"/>
    <x v="37"/>
    <n v="1"/>
    <d v="2025-01-24T00:00:00"/>
    <x v="2"/>
    <x v="0"/>
    <x v="1"/>
    <n v="456.32000732421875"/>
    <x v="0"/>
  </r>
  <r>
    <x v="312"/>
    <d v="2025-02-13T00:00:00"/>
    <x v="22"/>
    <s v=""/>
    <m/>
    <x v="1"/>
    <x v="0"/>
    <x v="0"/>
    <n v="1144.02001953125"/>
    <x v="2"/>
  </r>
  <r>
    <x v="313"/>
    <d v="2025-02-02T00:00:00"/>
    <x v="17"/>
    <n v="1"/>
    <d v="2025-02-08T00:00:00"/>
    <x v="0"/>
    <x v="1"/>
    <x v="3"/>
    <n v="873.22998046875"/>
    <x v="1"/>
  </r>
  <r>
    <x v="314"/>
    <d v="2025-02-02T00:00:00"/>
    <x v="17"/>
    <n v="3"/>
    <d v="2025-02-10T00:00:00"/>
    <x v="1"/>
    <x v="1"/>
    <x v="3"/>
    <n v="290.33999633789063"/>
    <x v="1"/>
  </r>
  <r>
    <x v="315"/>
    <d v="2025-01-02T00:00:00"/>
    <x v="64"/>
    <n v="2"/>
    <d v="2025-01-05T00:00:00"/>
    <x v="1"/>
    <x v="3"/>
    <x v="3"/>
    <n v="333.67001342773438"/>
    <x v="0"/>
  </r>
  <r>
    <x v="316"/>
    <d v="2025-02-18T00:00:00"/>
    <x v="29"/>
    <n v="4"/>
    <d v="2025-02-27T00:00:00"/>
    <x v="1"/>
    <x v="2"/>
    <x v="3"/>
    <n v="546.9000244140625"/>
    <x v="0"/>
  </r>
  <r>
    <x v="317"/>
    <d v="2025-02-20T00:00:00"/>
    <x v="47"/>
    <n v="2"/>
    <d v="2025-02-26T00:00:00"/>
    <x v="0"/>
    <x v="0"/>
    <x v="3"/>
    <n v="59.340000152587891"/>
    <x v="0"/>
  </r>
  <r>
    <x v="318"/>
    <d v="2025-01-08T00:00:00"/>
    <x v="42"/>
    <n v="4"/>
    <d v="2025-01-15T00:00:00"/>
    <x v="2"/>
    <x v="0"/>
    <x v="1"/>
    <n v="1155.5"/>
    <x v="1"/>
  </r>
  <r>
    <x v="319"/>
    <d v="2025-01-31T00:00:00"/>
    <x v="43"/>
    <n v="4"/>
    <d v="2025-02-13T00:00:00"/>
    <x v="2"/>
    <x v="2"/>
    <x v="0"/>
    <n v="316.52999877929688"/>
    <x v="0"/>
  </r>
  <r>
    <x v="320"/>
    <d v="2025-01-13T00:00:00"/>
    <x v="25"/>
    <n v="2"/>
    <d v="2025-01-20T00:00:00"/>
    <x v="2"/>
    <x v="1"/>
    <x v="1"/>
    <n v="601.57000732421875"/>
    <x v="1"/>
  </r>
  <r>
    <x v="321"/>
    <d v="2025-01-01T00:00:00"/>
    <x v="64"/>
    <s v=""/>
    <m/>
    <x v="0"/>
    <x v="0"/>
    <x v="2"/>
    <n v="777.19000244140625"/>
    <x v="2"/>
  </r>
  <r>
    <x v="322"/>
    <d v="2025-01-07T00:00:00"/>
    <x v="23"/>
    <n v="3"/>
    <d v="2025-01-16T00:00:00"/>
    <x v="0"/>
    <x v="2"/>
    <x v="2"/>
    <n v="380.92999267578125"/>
    <x v="0"/>
  </r>
  <r>
    <x v="323"/>
    <d v="2025-02-25T00:00:00"/>
    <x v="31"/>
    <n v="5"/>
    <d v="2025-03-05T00:00:00"/>
    <x v="0"/>
    <x v="3"/>
    <x v="3"/>
    <n v="775.08001708984375"/>
    <x v="0"/>
  </r>
  <r>
    <x v="324"/>
    <d v="2025-02-19T00:00:00"/>
    <x v="52"/>
    <n v="7"/>
    <d v="2025-03-08T00:00:00"/>
    <x v="0"/>
    <x v="1"/>
    <x v="3"/>
    <n v="16.799999237060547"/>
    <x v="1"/>
  </r>
  <r>
    <x v="325"/>
    <d v="2025-02-07T00:00:00"/>
    <x v="22"/>
    <s v=""/>
    <m/>
    <x v="2"/>
    <x v="2"/>
    <x v="3"/>
    <n v="711.27001953125"/>
    <x v="2"/>
  </r>
  <r>
    <x v="326"/>
    <d v="2025-01-07T00:00:00"/>
    <x v="32"/>
    <s v=""/>
    <m/>
    <x v="2"/>
    <x v="1"/>
    <x v="1"/>
    <n v="67.610000610351563"/>
    <x v="2"/>
  </r>
  <r>
    <x v="327"/>
    <d v="2025-02-07T00:00:00"/>
    <x v="38"/>
    <n v="5"/>
    <d v="2025-02-17T00:00:00"/>
    <x v="2"/>
    <x v="0"/>
    <x v="2"/>
    <n v="793.719970703125"/>
    <x v="1"/>
  </r>
  <r>
    <x v="328"/>
    <d v="2025-02-20T00:00:00"/>
    <x v="19"/>
    <n v="2"/>
    <d v="2025-03-01T00:00:00"/>
    <x v="2"/>
    <x v="1"/>
    <x v="0"/>
    <n v="149.02999877929688"/>
    <x v="0"/>
  </r>
  <r>
    <x v="329"/>
    <d v="2025-02-09T00:00:00"/>
    <x v="22"/>
    <s v=""/>
    <m/>
    <x v="2"/>
    <x v="0"/>
    <x v="0"/>
    <n v="389.6300048828125"/>
    <x v="2"/>
  </r>
  <r>
    <x v="330"/>
    <d v="2025-02-06T00:00:00"/>
    <x v="34"/>
    <s v=""/>
    <m/>
    <x v="0"/>
    <x v="0"/>
    <x v="3"/>
    <n v="631.1500244140625"/>
    <x v="2"/>
  </r>
  <r>
    <x v="331"/>
    <d v="2025-01-24T00:00:00"/>
    <x v="57"/>
    <n v="6"/>
    <d v="2025-02-06T00:00:00"/>
    <x v="1"/>
    <x v="0"/>
    <x v="3"/>
    <n v="366.17001342773438"/>
    <x v="1"/>
  </r>
  <r>
    <x v="332"/>
    <d v="2025-01-14T00:00:00"/>
    <x v="14"/>
    <n v="3"/>
    <d v="2025-01-23T00:00:00"/>
    <x v="0"/>
    <x v="3"/>
    <x v="3"/>
    <n v="166.72000122070313"/>
    <x v="0"/>
  </r>
  <r>
    <x v="333"/>
    <d v="2025-01-15T00:00:00"/>
    <x v="36"/>
    <n v="4"/>
    <d v="2025-01-21T00:00:00"/>
    <x v="0"/>
    <x v="3"/>
    <x v="0"/>
    <n v="915.77001953125"/>
    <x v="0"/>
  </r>
  <r>
    <x v="334"/>
    <d v="2025-02-07T00:00:00"/>
    <x v="54"/>
    <n v="6"/>
    <d v="2025-02-20T00:00:00"/>
    <x v="0"/>
    <x v="3"/>
    <x v="1"/>
    <n v="1142.949951171875"/>
    <x v="0"/>
  </r>
  <r>
    <x v="335"/>
    <d v="2025-01-04T00:00:00"/>
    <x v="58"/>
    <n v="5"/>
    <d v="2025-01-10T00:00:00"/>
    <x v="1"/>
    <x v="3"/>
    <x v="3"/>
    <n v="897.510009765625"/>
    <x v="0"/>
  </r>
  <r>
    <x v="336"/>
    <d v="2025-02-15T00:00:00"/>
    <x v="12"/>
    <n v="4"/>
    <d v="2025-02-26T00:00:00"/>
    <x v="1"/>
    <x v="0"/>
    <x v="1"/>
    <n v="258.3900146484375"/>
    <x v="1"/>
  </r>
  <r>
    <x v="337"/>
    <d v="2025-01-30T00:00:00"/>
    <x v="61"/>
    <s v=""/>
    <m/>
    <x v="2"/>
    <x v="3"/>
    <x v="0"/>
    <n v="1019.6799926757813"/>
    <x v="2"/>
  </r>
  <r>
    <x v="338"/>
    <d v="2025-02-02T00:00:00"/>
    <x v="24"/>
    <n v="2"/>
    <d v="2025-02-05T00:00:00"/>
    <x v="2"/>
    <x v="0"/>
    <x v="1"/>
    <n v="245.52999877929688"/>
    <x v="1"/>
  </r>
  <r>
    <x v="339"/>
    <d v="2025-02-04T00:00:00"/>
    <x v="1"/>
    <n v="6"/>
    <d v="2025-02-19T00:00:00"/>
    <x v="0"/>
    <x v="3"/>
    <x v="1"/>
    <n v="1083.1199951171875"/>
    <x v="1"/>
  </r>
  <r>
    <x v="340"/>
    <d v="2025-02-19T00:00:00"/>
    <x v="47"/>
    <n v="1"/>
    <d v="2025-02-25T00:00:00"/>
    <x v="2"/>
    <x v="3"/>
    <x v="2"/>
    <n v="386.04998779296875"/>
    <x v="1"/>
  </r>
  <r>
    <x v="341"/>
    <d v="2025-02-14T00:00:00"/>
    <x v="29"/>
    <n v="5"/>
    <d v="2025-02-28T00:00:00"/>
    <x v="0"/>
    <x v="0"/>
    <x v="1"/>
    <n v="997.45001220703125"/>
    <x v="1"/>
  </r>
  <r>
    <x v="342"/>
    <d v="2025-01-24T00:00:00"/>
    <x v="9"/>
    <n v="2"/>
    <d v="2025-01-30T00:00:00"/>
    <x v="0"/>
    <x v="2"/>
    <x v="0"/>
    <n v="173.41999816894531"/>
    <x v="1"/>
  </r>
  <r>
    <x v="343"/>
    <d v="2025-02-01T00:00:00"/>
    <x v="3"/>
    <s v=""/>
    <m/>
    <x v="2"/>
    <x v="0"/>
    <x v="0"/>
    <n v="229.60000610351563"/>
    <x v="2"/>
  </r>
  <r>
    <x v="344"/>
    <d v="2025-01-10T00:00:00"/>
    <x v="41"/>
    <n v="2"/>
    <d v="2025-01-17T00:00:00"/>
    <x v="0"/>
    <x v="3"/>
    <x v="2"/>
    <n v="107.76999664306641"/>
    <x v="1"/>
  </r>
  <r>
    <x v="345"/>
    <d v="2025-02-26T00:00:00"/>
    <x v="40"/>
    <s v=""/>
    <m/>
    <x v="0"/>
    <x v="3"/>
    <x v="0"/>
    <n v="758.79998779296875"/>
    <x v="2"/>
  </r>
  <r>
    <x v="346"/>
    <d v="2025-01-30T00:00:00"/>
    <x v="8"/>
    <s v=""/>
    <m/>
    <x v="0"/>
    <x v="3"/>
    <x v="2"/>
    <n v="1074.3199462890625"/>
    <x v="2"/>
  </r>
  <r>
    <x v="347"/>
    <d v="2025-02-16T00:00:00"/>
    <x v="12"/>
    <n v="2"/>
    <d v="2025-02-24T00:00:00"/>
    <x v="0"/>
    <x v="0"/>
    <x v="3"/>
    <n v="602.219970703125"/>
    <x v="1"/>
  </r>
  <r>
    <x v="348"/>
    <d v="2025-01-22T00:00:00"/>
    <x v="9"/>
    <n v="5"/>
    <d v="2025-02-02T00:00:00"/>
    <x v="2"/>
    <x v="2"/>
    <x v="1"/>
    <n v="736.65997314453125"/>
    <x v="1"/>
  </r>
  <r>
    <x v="349"/>
    <d v="2025-02-02T00:00:00"/>
    <x v="34"/>
    <n v="6"/>
    <d v="2025-02-14T00:00:00"/>
    <x v="2"/>
    <x v="2"/>
    <x v="0"/>
    <n v="1091"/>
    <x v="1"/>
  </r>
  <r>
    <x v="350"/>
    <d v="2025-02-19T00:00:00"/>
    <x v="19"/>
    <n v="5"/>
    <d v="2025-03-04T00:00:00"/>
    <x v="2"/>
    <x v="3"/>
    <x v="3"/>
    <n v="1072.8499755859375"/>
    <x v="1"/>
  </r>
  <r>
    <x v="351"/>
    <d v="2025-01-22T00:00:00"/>
    <x v="35"/>
    <n v="2"/>
    <d v="2025-01-27T00:00:00"/>
    <x v="0"/>
    <x v="2"/>
    <x v="3"/>
    <n v="1002.5700073242188"/>
    <x v="0"/>
  </r>
  <r>
    <x v="352"/>
    <d v="2025-02-04T00:00:00"/>
    <x v="43"/>
    <n v="7"/>
    <d v="2025-02-16T00:00:00"/>
    <x v="1"/>
    <x v="2"/>
    <x v="2"/>
    <n v="693.05999755859375"/>
    <x v="0"/>
  </r>
  <r>
    <x v="353"/>
    <d v="2025-01-20T00:00:00"/>
    <x v="35"/>
    <n v="3"/>
    <d v="2025-01-28T00:00:00"/>
    <x v="2"/>
    <x v="1"/>
    <x v="0"/>
    <n v="1185.6600341796875"/>
    <x v="0"/>
  </r>
  <r>
    <x v="354"/>
    <d v="2025-02-20T00:00:00"/>
    <x v="4"/>
    <n v="7"/>
    <d v="2025-02-28T00:00:00"/>
    <x v="0"/>
    <x v="0"/>
    <x v="3"/>
    <n v="272.95999145507813"/>
    <x v="1"/>
  </r>
  <r>
    <x v="355"/>
    <d v="2025-02-27T00:00:00"/>
    <x v="65"/>
    <n v="7"/>
    <d v="2025-03-16T00:00:00"/>
    <x v="0"/>
    <x v="2"/>
    <x v="0"/>
    <n v="869.780029296875"/>
    <x v="0"/>
  </r>
  <r>
    <x v="356"/>
    <d v="2025-01-14T00:00:00"/>
    <x v="18"/>
    <n v="1"/>
    <d v="2025-01-23T00:00:00"/>
    <x v="0"/>
    <x v="2"/>
    <x v="0"/>
    <n v="688.69000244140625"/>
    <x v="0"/>
  </r>
  <r>
    <x v="357"/>
    <d v="2025-01-19T00:00:00"/>
    <x v="9"/>
    <n v="7"/>
    <d v="2025-02-04T00:00:00"/>
    <x v="2"/>
    <x v="0"/>
    <x v="1"/>
    <n v="1029.18994140625"/>
    <x v="1"/>
  </r>
  <r>
    <x v="358"/>
    <d v="2025-02-16T00:00:00"/>
    <x v="49"/>
    <n v="3"/>
    <d v="2025-03-01T00:00:00"/>
    <x v="0"/>
    <x v="3"/>
    <x v="0"/>
    <n v="218.97999572753906"/>
    <x v="1"/>
  </r>
  <r>
    <x v="359"/>
    <d v="2025-01-30T00:00:00"/>
    <x v="24"/>
    <n v="6"/>
    <d v="2025-02-09T00:00:00"/>
    <x v="1"/>
    <x v="2"/>
    <x v="3"/>
    <n v="1095.1300048828125"/>
    <x v="0"/>
  </r>
  <r>
    <x v="360"/>
    <d v="2025-02-10T00:00:00"/>
    <x v="22"/>
    <n v="2"/>
    <d v="2025-02-19T00:00:00"/>
    <x v="1"/>
    <x v="0"/>
    <x v="1"/>
    <n v="452.02999877929688"/>
    <x v="0"/>
  </r>
  <r>
    <x v="361"/>
    <d v="2025-01-28T00:00:00"/>
    <x v="30"/>
    <n v="2"/>
    <d v="2025-01-31T00:00:00"/>
    <x v="0"/>
    <x v="2"/>
    <x v="2"/>
    <n v="904.0999755859375"/>
    <x v="0"/>
  </r>
  <r>
    <x v="362"/>
    <d v="2025-02-26T00:00:00"/>
    <x v="19"/>
    <n v="7"/>
    <d v="2025-03-06T00:00:00"/>
    <x v="1"/>
    <x v="2"/>
    <x v="3"/>
    <n v="834.510009765625"/>
    <x v="0"/>
  </r>
  <r>
    <x v="363"/>
    <d v="2025-03-01T00:00:00"/>
    <x v="2"/>
    <n v="7"/>
    <d v="2025-03-09T00:00:00"/>
    <x v="2"/>
    <x v="3"/>
    <x v="3"/>
    <n v="869.510009765625"/>
    <x v="0"/>
  </r>
  <r>
    <x v="364"/>
    <d v="2025-01-29T00:00:00"/>
    <x v="45"/>
    <n v="3"/>
    <d v="2025-02-09T00:00:00"/>
    <x v="1"/>
    <x v="3"/>
    <x v="1"/>
    <n v="500.260009765625"/>
    <x v="0"/>
  </r>
  <r>
    <x v="365"/>
    <d v="2025-02-18T00:00:00"/>
    <x v="19"/>
    <s v=""/>
    <m/>
    <x v="1"/>
    <x v="2"/>
    <x v="1"/>
    <n v="1200.5899658203125"/>
    <x v="2"/>
  </r>
  <r>
    <x v="366"/>
    <d v="2025-01-15T00:00:00"/>
    <x v="37"/>
    <n v="4"/>
    <d v="2025-01-27T00:00:00"/>
    <x v="1"/>
    <x v="0"/>
    <x v="2"/>
    <n v="1178.4599609375"/>
    <x v="0"/>
  </r>
  <r>
    <x v="367"/>
    <d v="2025-01-07T00:00:00"/>
    <x v="36"/>
    <n v="4"/>
    <d v="2025-01-21T00:00:00"/>
    <x v="0"/>
    <x v="0"/>
    <x v="3"/>
    <n v="641.6500244140625"/>
    <x v="1"/>
  </r>
  <r>
    <x v="368"/>
    <d v="2025-02-01T00:00:00"/>
    <x v="46"/>
    <s v=""/>
    <m/>
    <x v="0"/>
    <x v="3"/>
    <x v="2"/>
    <n v="658.489990234375"/>
    <x v="2"/>
  </r>
  <r>
    <x v="369"/>
    <d v="2025-02-27T00:00:00"/>
    <x v="53"/>
    <n v="7"/>
    <d v="2025-03-13T00:00:00"/>
    <x v="2"/>
    <x v="0"/>
    <x v="1"/>
    <n v="453.29998779296875"/>
    <x v="1"/>
  </r>
  <r>
    <x v="370"/>
    <d v="2025-02-28T00:00:00"/>
    <x v="53"/>
    <n v="4"/>
    <d v="2025-03-10T00:00:00"/>
    <x v="1"/>
    <x v="0"/>
    <x v="2"/>
    <n v="951.3800048828125"/>
    <x v="1"/>
  </r>
  <r>
    <x v="371"/>
    <d v="2025-01-19T00:00:00"/>
    <x v="27"/>
    <n v="1"/>
    <d v="2025-01-25T00:00:00"/>
    <x v="0"/>
    <x v="3"/>
    <x v="3"/>
    <n v="86.660003662109375"/>
    <x v="1"/>
  </r>
  <r>
    <x v="372"/>
    <d v="2025-02-23T00:00:00"/>
    <x v="31"/>
    <n v="2"/>
    <d v="2025-03-02T00:00:00"/>
    <x v="1"/>
    <x v="2"/>
    <x v="2"/>
    <n v="1046.18994140625"/>
    <x v="0"/>
  </r>
  <r>
    <x v="373"/>
    <d v="2025-01-28T00:00:00"/>
    <x v="17"/>
    <n v="5"/>
    <d v="2025-02-12T00:00:00"/>
    <x v="2"/>
    <x v="0"/>
    <x v="1"/>
    <n v="779.239990234375"/>
    <x v="1"/>
  </r>
  <r>
    <x v="374"/>
    <d v="2025-02-02T00:00:00"/>
    <x v="38"/>
    <n v="5"/>
    <d v="2025-02-17T00:00:00"/>
    <x v="0"/>
    <x v="2"/>
    <x v="2"/>
    <n v="38.319999694824219"/>
    <x v="0"/>
  </r>
  <r>
    <x v="375"/>
    <d v="2025-01-22T00:00:00"/>
    <x v="35"/>
    <s v=""/>
    <m/>
    <x v="1"/>
    <x v="2"/>
    <x v="3"/>
    <n v="259.1199951171875"/>
    <x v="2"/>
  </r>
  <r>
    <x v="376"/>
    <d v="2025-02-27T00:00:00"/>
    <x v="28"/>
    <n v="6"/>
    <d v="2025-03-09T00:00:00"/>
    <x v="0"/>
    <x v="0"/>
    <x v="0"/>
    <n v="906.1400146484375"/>
    <x v="1"/>
  </r>
  <r>
    <x v="377"/>
    <d v="2025-01-23T00:00:00"/>
    <x v="57"/>
    <n v="1"/>
    <d v="2025-02-01T00:00:00"/>
    <x v="2"/>
    <x v="3"/>
    <x v="2"/>
    <n v="511.1300048828125"/>
    <x v="0"/>
  </r>
  <r>
    <x v="378"/>
    <d v="2025-01-01T00:00:00"/>
    <x v="5"/>
    <n v="1"/>
    <d v="2025-01-10T00:00:00"/>
    <x v="2"/>
    <x v="1"/>
    <x v="0"/>
    <n v="287.35000610351563"/>
    <x v="0"/>
  </r>
  <r>
    <x v="379"/>
    <d v="2025-01-02T00:00:00"/>
    <x v="63"/>
    <s v=""/>
    <m/>
    <x v="1"/>
    <x v="3"/>
    <x v="2"/>
    <n v="367.1199951171875"/>
    <x v="2"/>
  </r>
  <r>
    <x v="380"/>
    <d v="2025-01-04T00:00:00"/>
    <x v="21"/>
    <n v="7"/>
    <d v="2025-01-17T00:00:00"/>
    <x v="0"/>
    <x v="3"/>
    <x v="0"/>
    <n v="284.95001220703125"/>
    <x v="0"/>
  </r>
  <r>
    <x v="381"/>
    <d v="2025-02-14T00:00:00"/>
    <x v="22"/>
    <n v="2"/>
    <d v="2025-02-19T00:00:00"/>
    <x v="2"/>
    <x v="3"/>
    <x v="0"/>
    <n v="528.33001708984375"/>
    <x v="1"/>
  </r>
  <r>
    <x v="382"/>
    <d v="2025-01-16T00:00:00"/>
    <x v="27"/>
    <n v="5"/>
    <d v="2025-01-29T00:00:00"/>
    <x v="1"/>
    <x v="2"/>
    <x v="1"/>
    <n v="587.08001708984375"/>
    <x v="0"/>
  </r>
  <r>
    <x v="383"/>
    <d v="2025-01-16T00:00:00"/>
    <x v="26"/>
    <n v="2"/>
    <d v="2025-01-28T00:00:00"/>
    <x v="1"/>
    <x v="1"/>
    <x v="3"/>
    <n v="43.900001525878906"/>
    <x v="1"/>
  </r>
  <r>
    <x v="384"/>
    <d v="2025-01-01T00:00:00"/>
    <x v="48"/>
    <n v="1"/>
    <d v="2025-01-08T00:00:00"/>
    <x v="2"/>
    <x v="1"/>
    <x v="0"/>
    <n v="785.20001220703125"/>
    <x v="1"/>
  </r>
  <r>
    <x v="385"/>
    <d v="2025-01-08T00:00:00"/>
    <x v="23"/>
    <s v=""/>
    <m/>
    <x v="0"/>
    <x v="3"/>
    <x v="1"/>
    <n v="591.6099853515625"/>
    <x v="2"/>
  </r>
  <r>
    <x v="386"/>
    <d v="2025-02-20T00:00:00"/>
    <x v="47"/>
    <n v="7"/>
    <d v="2025-03-03T00:00:00"/>
    <x v="2"/>
    <x v="0"/>
    <x v="1"/>
    <n v="1075.4200439453125"/>
    <x v="1"/>
  </r>
  <r>
    <x v="387"/>
    <d v="2025-01-05T00:00:00"/>
    <x v="56"/>
    <n v="1"/>
    <d v="2025-01-13T00:00:00"/>
    <x v="1"/>
    <x v="0"/>
    <x v="0"/>
    <n v="774.3800048828125"/>
    <x v="1"/>
  </r>
  <r>
    <x v="388"/>
    <d v="2025-02-25T00:00:00"/>
    <x v="19"/>
    <s v=""/>
    <m/>
    <x v="1"/>
    <x v="3"/>
    <x v="0"/>
    <n v="897.54998779296875"/>
    <x v="2"/>
  </r>
  <r>
    <x v="389"/>
    <d v="2025-02-14T00:00:00"/>
    <x v="29"/>
    <n v="1"/>
    <d v="2025-02-24T00:00:00"/>
    <x v="0"/>
    <x v="2"/>
    <x v="0"/>
    <n v="967.75"/>
    <x v="1"/>
  </r>
  <r>
    <x v="390"/>
    <d v="2025-02-24T00:00:00"/>
    <x v="6"/>
    <n v="5"/>
    <d v="2025-03-10T00:00:00"/>
    <x v="0"/>
    <x v="2"/>
    <x v="1"/>
    <n v="871.42999267578125"/>
    <x v="1"/>
  </r>
  <r>
    <x v="391"/>
    <d v="2025-02-01T00:00:00"/>
    <x v="17"/>
    <n v="3"/>
    <d v="2025-02-10T00:00:00"/>
    <x v="1"/>
    <x v="3"/>
    <x v="0"/>
    <n v="402.010009765625"/>
    <x v="1"/>
  </r>
  <r>
    <x v="392"/>
    <d v="2025-02-22T00:00:00"/>
    <x v="28"/>
    <n v="5"/>
    <d v="2025-03-08T00:00:00"/>
    <x v="2"/>
    <x v="3"/>
    <x v="3"/>
    <n v="754.59002685546875"/>
    <x v="1"/>
  </r>
  <r>
    <x v="393"/>
    <d v="2025-01-11T00:00:00"/>
    <x v="25"/>
    <n v="5"/>
    <d v="2025-01-23T00:00:00"/>
    <x v="0"/>
    <x v="0"/>
    <x v="2"/>
    <n v="713.46002197265625"/>
    <x v="0"/>
  </r>
  <r>
    <x v="394"/>
    <d v="2025-01-29T00:00:00"/>
    <x v="8"/>
    <n v="3"/>
    <d v="2025-02-08T00:00:00"/>
    <x v="1"/>
    <x v="3"/>
    <x v="0"/>
    <n v="692.27001953125"/>
    <x v="1"/>
  </r>
  <r>
    <x v="395"/>
    <d v="2025-02-26T00:00:00"/>
    <x v="6"/>
    <n v="7"/>
    <d v="2025-03-12T00:00:00"/>
    <x v="0"/>
    <x v="2"/>
    <x v="1"/>
    <n v="636.97998046875"/>
    <x v="0"/>
  </r>
  <r>
    <x v="396"/>
    <d v="2025-01-23T00:00:00"/>
    <x v="7"/>
    <n v="2"/>
    <d v="2025-01-29T00:00:00"/>
    <x v="1"/>
    <x v="2"/>
    <x v="2"/>
    <n v="152.44999694824219"/>
    <x v="0"/>
  </r>
  <r>
    <x v="397"/>
    <d v="2025-02-14T00:00:00"/>
    <x v="11"/>
    <n v="1"/>
    <d v="2025-02-16T00:00:00"/>
    <x v="0"/>
    <x v="0"/>
    <x v="1"/>
    <n v="697.82000732421875"/>
    <x v="0"/>
  </r>
  <r>
    <x v="398"/>
    <d v="2025-02-08T00:00:00"/>
    <x v="0"/>
    <n v="6"/>
    <d v="2025-02-24T00:00:00"/>
    <x v="2"/>
    <x v="0"/>
    <x v="0"/>
    <n v="31.110000610351563"/>
    <x v="1"/>
  </r>
  <r>
    <x v="399"/>
    <d v="2025-02-03T00:00:00"/>
    <x v="8"/>
    <n v="3"/>
    <d v="2025-02-08T00:00:00"/>
    <x v="2"/>
    <x v="2"/>
    <x v="1"/>
    <n v="514.58001708984375"/>
    <x v="1"/>
  </r>
  <r>
    <x v="400"/>
    <d v="2025-02-23T00:00:00"/>
    <x v="31"/>
    <n v="4"/>
    <d v="2025-03-04T00:00:00"/>
    <x v="1"/>
    <x v="3"/>
    <x v="0"/>
    <n v="487.19000244140625"/>
    <x v="1"/>
  </r>
  <r>
    <x v="401"/>
    <d v="2025-01-15T00:00:00"/>
    <x v="37"/>
    <n v="7"/>
    <d v="2025-01-30T00:00:00"/>
    <x v="2"/>
    <x v="1"/>
    <x v="0"/>
    <n v="663.08001708984375"/>
    <x v="1"/>
  </r>
  <r>
    <x v="402"/>
    <d v="2025-01-09T00:00:00"/>
    <x v="32"/>
    <n v="6"/>
    <d v="2025-01-20T00:00:00"/>
    <x v="2"/>
    <x v="0"/>
    <x v="3"/>
    <n v="244.75"/>
    <x v="1"/>
  </r>
  <r>
    <x v="403"/>
    <d v="2025-02-18T00:00:00"/>
    <x v="12"/>
    <s v=""/>
    <m/>
    <x v="0"/>
    <x v="1"/>
    <x v="0"/>
    <n v="305.72000122070313"/>
    <x v="2"/>
  </r>
  <r>
    <x v="404"/>
    <d v="2025-01-18T00:00:00"/>
    <x v="13"/>
    <n v="6"/>
    <d v="2025-01-27T00:00:00"/>
    <x v="0"/>
    <x v="1"/>
    <x v="2"/>
    <n v="1177.989990234375"/>
    <x v="1"/>
  </r>
  <r>
    <x v="405"/>
    <d v="2025-02-13T00:00:00"/>
    <x v="12"/>
    <n v="3"/>
    <d v="2025-02-25T00:00:00"/>
    <x v="2"/>
    <x v="0"/>
    <x v="1"/>
    <n v="428.42999267578125"/>
    <x v="0"/>
  </r>
  <r>
    <x v="406"/>
    <d v="2025-01-08T00:00:00"/>
    <x v="25"/>
    <n v="7"/>
    <d v="2025-01-25T00:00:00"/>
    <x v="1"/>
    <x v="3"/>
    <x v="3"/>
    <n v="1030.0799560546875"/>
    <x v="1"/>
  </r>
  <r>
    <x v="407"/>
    <d v="2025-02-10T00:00:00"/>
    <x v="54"/>
    <n v="6"/>
    <d v="2025-02-20T00:00:00"/>
    <x v="2"/>
    <x v="3"/>
    <x v="1"/>
    <n v="596.59002685546875"/>
    <x v="1"/>
  </r>
  <r>
    <x v="408"/>
    <d v="2025-02-08T00:00:00"/>
    <x v="3"/>
    <n v="4"/>
    <d v="2025-02-15T00:00:00"/>
    <x v="2"/>
    <x v="0"/>
    <x v="2"/>
    <n v="32.939998626708984"/>
    <x v="0"/>
  </r>
  <r>
    <x v="409"/>
    <d v="2025-01-31T00:00:00"/>
    <x v="46"/>
    <n v="3"/>
    <d v="2025-02-13T00:00:00"/>
    <x v="0"/>
    <x v="3"/>
    <x v="0"/>
    <n v="666.3900146484375"/>
    <x v="0"/>
  </r>
  <r>
    <x v="410"/>
    <d v="2025-02-06T00:00:00"/>
    <x v="38"/>
    <n v="7"/>
    <d v="2025-02-19T00:00:00"/>
    <x v="0"/>
    <x v="2"/>
    <x v="1"/>
    <n v="210.83999633789063"/>
    <x v="1"/>
  </r>
  <r>
    <x v="411"/>
    <d v="2025-01-13T00:00:00"/>
    <x v="20"/>
    <n v="6"/>
    <d v="2025-01-25T00:00:00"/>
    <x v="0"/>
    <x v="1"/>
    <x v="1"/>
    <n v="783.25"/>
    <x v="0"/>
  </r>
  <r>
    <x v="412"/>
    <d v="2025-02-23T00:00:00"/>
    <x v="2"/>
    <s v=""/>
    <m/>
    <x v="1"/>
    <x v="1"/>
    <x v="3"/>
    <n v="466.07000732421875"/>
    <x v="2"/>
  </r>
  <r>
    <x v="413"/>
    <d v="2025-02-07T00:00:00"/>
    <x v="43"/>
    <n v="5"/>
    <d v="2025-02-14T00:00:00"/>
    <x v="2"/>
    <x v="1"/>
    <x v="3"/>
    <n v="1025.5699462890625"/>
    <x v="1"/>
  </r>
  <r>
    <x v="414"/>
    <d v="2025-02-15T00:00:00"/>
    <x v="4"/>
    <n v="3"/>
    <d v="2025-02-24T00:00:00"/>
    <x v="1"/>
    <x v="3"/>
    <x v="1"/>
    <n v="965.1400146484375"/>
    <x v="0"/>
  </r>
  <r>
    <x v="415"/>
    <d v="2025-01-24T00:00:00"/>
    <x v="61"/>
    <s v=""/>
    <m/>
    <x v="1"/>
    <x v="3"/>
    <x v="1"/>
    <n v="669.41998291015625"/>
    <x v="2"/>
  </r>
  <r>
    <x v="416"/>
    <d v="2025-01-27T00:00:00"/>
    <x v="30"/>
    <n v="7"/>
    <d v="2025-02-05T00:00:00"/>
    <x v="1"/>
    <x v="2"/>
    <x v="3"/>
    <n v="649.04998779296875"/>
    <x v="0"/>
  </r>
  <r>
    <x v="417"/>
    <d v="2025-02-21T00:00:00"/>
    <x v="19"/>
    <s v=""/>
    <m/>
    <x v="1"/>
    <x v="2"/>
    <x v="1"/>
    <n v="469.5"/>
    <x v="2"/>
  </r>
  <r>
    <x v="418"/>
    <d v="2025-01-03T00:00:00"/>
    <x v="39"/>
    <n v="3"/>
    <d v="2025-01-07T00:00:00"/>
    <x v="1"/>
    <x v="1"/>
    <x v="3"/>
    <n v="719.760009765625"/>
    <x v="0"/>
  </r>
  <r>
    <x v="419"/>
    <d v="2025-01-24T00:00:00"/>
    <x v="33"/>
    <n v="2"/>
    <d v="2025-02-03T00:00:00"/>
    <x v="1"/>
    <x v="0"/>
    <x v="0"/>
    <n v="179.85000610351563"/>
    <x v="0"/>
  </r>
  <r>
    <x v="420"/>
    <d v="2025-02-12T00:00:00"/>
    <x v="4"/>
    <n v="4"/>
    <d v="2025-02-25T00:00:00"/>
    <x v="1"/>
    <x v="2"/>
    <x v="3"/>
    <n v="999.010009765625"/>
    <x v="0"/>
  </r>
  <r>
    <x v="421"/>
    <d v="2025-02-13T00:00:00"/>
    <x v="4"/>
    <n v="1"/>
    <d v="2025-02-22T00:00:00"/>
    <x v="0"/>
    <x v="3"/>
    <x v="0"/>
    <n v="816.57000732421875"/>
    <x v="0"/>
  </r>
  <r>
    <x v="422"/>
    <d v="2025-01-05T00:00:00"/>
    <x v="21"/>
    <n v="5"/>
    <d v="2025-01-15T00:00:00"/>
    <x v="2"/>
    <x v="2"/>
    <x v="1"/>
    <n v="35.099998474121094"/>
    <x v="1"/>
  </r>
  <r>
    <x v="423"/>
    <d v="2025-01-17T00:00:00"/>
    <x v="26"/>
    <n v="2"/>
    <d v="2025-01-28T00:00:00"/>
    <x v="1"/>
    <x v="3"/>
    <x v="1"/>
    <n v="852.739990234375"/>
    <x v="1"/>
  </r>
  <r>
    <x v="424"/>
    <d v="2025-01-08T00:00:00"/>
    <x v="32"/>
    <n v="2"/>
    <d v="2025-01-16T00:00:00"/>
    <x v="2"/>
    <x v="0"/>
    <x v="2"/>
    <n v="17.239999771118164"/>
    <x v="1"/>
  </r>
  <r>
    <x v="425"/>
    <d v="2025-01-21T00:00:00"/>
    <x v="9"/>
    <n v="5"/>
    <d v="2025-02-02T00:00:00"/>
    <x v="0"/>
    <x v="3"/>
    <x v="1"/>
    <n v="792.0999755859375"/>
    <x v="1"/>
  </r>
  <r>
    <x v="426"/>
    <d v="2025-02-03T00:00:00"/>
    <x v="1"/>
    <n v="5"/>
    <d v="2025-02-18T00:00:00"/>
    <x v="0"/>
    <x v="2"/>
    <x v="2"/>
    <n v="429.45001220703125"/>
    <x v="0"/>
  </r>
  <r>
    <x v="427"/>
    <d v="2025-02-01T00:00:00"/>
    <x v="34"/>
    <n v="7"/>
    <d v="2025-02-15T00:00:00"/>
    <x v="1"/>
    <x v="2"/>
    <x v="3"/>
    <n v="68.830001831054688"/>
    <x v="1"/>
  </r>
  <r>
    <x v="428"/>
    <d v="2025-01-07T00:00:00"/>
    <x v="55"/>
    <n v="5"/>
    <d v="2025-01-21T00:00:00"/>
    <x v="0"/>
    <x v="1"/>
    <x v="2"/>
    <n v="994.8800048828125"/>
    <x v="1"/>
  </r>
  <r>
    <x v="429"/>
    <d v="2025-02-24T00:00:00"/>
    <x v="19"/>
    <n v="7"/>
    <d v="2025-03-06T00:00:00"/>
    <x v="1"/>
    <x v="0"/>
    <x v="1"/>
    <n v="683.28997802734375"/>
    <x v="1"/>
  </r>
  <r>
    <x v="430"/>
    <d v="2025-02-20T00:00:00"/>
    <x v="47"/>
    <n v="2"/>
    <d v="2025-02-26T00:00:00"/>
    <x v="1"/>
    <x v="0"/>
    <x v="1"/>
    <n v="762.3599853515625"/>
    <x v="0"/>
  </r>
  <r>
    <x v="431"/>
    <d v="2025-02-18T00:00:00"/>
    <x v="15"/>
    <n v="4"/>
    <d v="2025-03-01T00:00:00"/>
    <x v="1"/>
    <x v="2"/>
    <x v="1"/>
    <n v="961.20001220703125"/>
    <x v="0"/>
  </r>
  <r>
    <x v="432"/>
    <d v="2025-01-23T00:00:00"/>
    <x v="57"/>
    <s v=""/>
    <m/>
    <x v="1"/>
    <x v="2"/>
    <x v="0"/>
    <n v="468.73001098632813"/>
    <x v="2"/>
  </r>
  <r>
    <x v="433"/>
    <d v="2025-01-08T00:00:00"/>
    <x v="25"/>
    <n v="6"/>
    <d v="2025-01-24T00:00:00"/>
    <x v="0"/>
    <x v="2"/>
    <x v="3"/>
    <n v="1161.0999755859375"/>
    <x v="1"/>
  </r>
  <r>
    <x v="434"/>
    <d v="2025-02-02T00:00:00"/>
    <x v="8"/>
    <n v="1"/>
    <d v="2025-02-06T00:00:00"/>
    <x v="2"/>
    <x v="1"/>
    <x v="2"/>
    <n v="877.8699951171875"/>
    <x v="0"/>
  </r>
  <r>
    <x v="435"/>
    <d v="2025-01-11T00:00:00"/>
    <x v="25"/>
    <n v="5"/>
    <d v="2025-01-23T00:00:00"/>
    <x v="1"/>
    <x v="0"/>
    <x v="2"/>
    <n v="1193.9300537109375"/>
    <x v="0"/>
  </r>
  <r>
    <x v="436"/>
    <d v="2025-01-27T00:00:00"/>
    <x v="50"/>
    <n v="3"/>
    <d v="2025-02-02T00:00:00"/>
    <x v="2"/>
    <x v="0"/>
    <x v="3"/>
    <n v="106.58999633789063"/>
    <x v="1"/>
  </r>
  <r>
    <x v="437"/>
    <d v="2025-02-06T00:00:00"/>
    <x v="17"/>
    <n v="1"/>
    <d v="2025-02-08T00:00:00"/>
    <x v="1"/>
    <x v="2"/>
    <x v="2"/>
    <n v="519.40997314453125"/>
    <x v="0"/>
  </r>
  <r>
    <x v="438"/>
    <d v="2025-02-24T00:00:00"/>
    <x v="49"/>
    <s v=""/>
    <m/>
    <x v="0"/>
    <x v="0"/>
    <x v="2"/>
    <n v="1103.8800048828125"/>
    <x v="2"/>
  </r>
  <r>
    <x v="439"/>
    <d v="2025-02-01T00:00:00"/>
    <x v="61"/>
    <n v="1"/>
    <d v="2025-02-03T00:00:00"/>
    <x v="0"/>
    <x v="3"/>
    <x v="3"/>
    <n v="444.82000732421875"/>
    <x v="1"/>
  </r>
  <r>
    <x v="440"/>
    <d v="2025-02-15T00:00:00"/>
    <x v="4"/>
    <n v="2"/>
    <d v="2025-02-23T00:00:00"/>
    <x v="0"/>
    <x v="2"/>
    <x v="1"/>
    <n v="1041.530029296875"/>
    <x v="1"/>
  </r>
  <r>
    <x v="441"/>
    <d v="2025-02-04T00:00:00"/>
    <x v="34"/>
    <s v=""/>
    <m/>
    <x v="2"/>
    <x v="0"/>
    <x v="1"/>
    <n v="1124.68994140625"/>
    <x v="2"/>
  </r>
  <r>
    <x v="442"/>
    <d v="2025-02-02T00:00:00"/>
    <x v="46"/>
    <n v="5"/>
    <d v="2025-02-15T00:00:00"/>
    <x v="2"/>
    <x v="0"/>
    <x v="0"/>
    <n v="955.16998291015625"/>
    <x v="1"/>
  </r>
  <r>
    <x v="443"/>
    <d v="2025-02-06T00:00:00"/>
    <x v="54"/>
    <n v="2"/>
    <d v="2025-02-16T00:00:00"/>
    <x v="0"/>
    <x v="2"/>
    <x v="0"/>
    <n v="165.1300048828125"/>
    <x v="1"/>
  </r>
  <r>
    <x v="444"/>
    <d v="2025-01-15T00:00:00"/>
    <x v="20"/>
    <n v="1"/>
    <d v="2025-01-20T00:00:00"/>
    <x v="0"/>
    <x v="3"/>
    <x v="0"/>
    <n v="21.110000610351563"/>
    <x v="1"/>
  </r>
  <r>
    <x v="445"/>
    <d v="2025-01-04T00:00:00"/>
    <x v="48"/>
    <s v=""/>
    <m/>
    <x v="0"/>
    <x v="1"/>
    <x v="2"/>
    <n v="558.92999267578125"/>
    <x v="2"/>
  </r>
  <r>
    <x v="446"/>
    <d v="2025-01-16T00:00:00"/>
    <x v="14"/>
    <n v="3"/>
    <d v="2025-01-23T00:00:00"/>
    <x v="0"/>
    <x v="1"/>
    <x v="3"/>
    <n v="129.99000549316406"/>
    <x v="0"/>
  </r>
  <r>
    <x v="447"/>
    <d v="2025-01-21T00:00:00"/>
    <x v="30"/>
    <n v="4"/>
    <d v="2025-02-02T00:00:00"/>
    <x v="0"/>
    <x v="3"/>
    <x v="2"/>
    <n v="208.05999755859375"/>
    <x v="0"/>
  </r>
  <r>
    <x v="448"/>
    <d v="2025-01-08T00:00:00"/>
    <x v="56"/>
    <n v="6"/>
    <d v="2025-01-18T00:00:00"/>
    <x v="2"/>
    <x v="2"/>
    <x v="2"/>
    <n v="501.26998901367188"/>
    <x v="0"/>
  </r>
  <r>
    <x v="449"/>
    <d v="2025-01-08T00:00:00"/>
    <x v="56"/>
    <n v="1"/>
    <d v="2025-01-13T00:00:00"/>
    <x v="0"/>
    <x v="3"/>
    <x v="1"/>
    <n v="817.780029296875"/>
    <x v="1"/>
  </r>
  <r>
    <x v="450"/>
    <d v="2025-01-03T00:00:00"/>
    <x v="56"/>
    <n v="6"/>
    <d v="2025-01-18T00:00:00"/>
    <x v="0"/>
    <x v="0"/>
    <x v="0"/>
    <n v="1123.4000244140625"/>
    <x v="0"/>
  </r>
  <r>
    <x v="451"/>
    <d v="2025-02-02T00:00:00"/>
    <x v="45"/>
    <n v="5"/>
    <d v="2025-02-11T00:00:00"/>
    <x v="2"/>
    <x v="1"/>
    <x v="3"/>
    <n v="1098.6300048828125"/>
    <x v="1"/>
  </r>
  <r>
    <x v="452"/>
    <d v="2025-01-04T00:00:00"/>
    <x v="63"/>
    <n v="1"/>
    <d v="2025-01-09T00:00:00"/>
    <x v="2"/>
    <x v="0"/>
    <x v="0"/>
    <n v="384.17999267578125"/>
    <x v="0"/>
  </r>
  <r>
    <x v="453"/>
    <d v="2025-01-31T00:00:00"/>
    <x v="61"/>
    <n v="1"/>
    <d v="2025-02-03T00:00:00"/>
    <x v="1"/>
    <x v="1"/>
    <x v="2"/>
    <n v="175.77999877929688"/>
    <x v="0"/>
  </r>
  <r>
    <x v="454"/>
    <d v="2025-02-25T00:00:00"/>
    <x v="16"/>
    <n v="5"/>
    <d v="2025-03-09T00:00:00"/>
    <x v="1"/>
    <x v="0"/>
    <x v="3"/>
    <n v="801.760009765625"/>
    <x v="1"/>
  </r>
  <r>
    <x v="455"/>
    <d v="2025-01-10T00:00:00"/>
    <x v="23"/>
    <n v="2"/>
    <d v="2025-01-15T00:00:00"/>
    <x v="2"/>
    <x v="3"/>
    <x v="0"/>
    <n v="835.69000244140625"/>
    <x v="0"/>
  </r>
  <r>
    <x v="456"/>
    <d v="2025-02-06T00:00:00"/>
    <x v="43"/>
    <n v="6"/>
    <d v="2025-02-15T00:00:00"/>
    <x v="0"/>
    <x v="2"/>
    <x v="2"/>
    <n v="428.33999633789063"/>
    <x v="0"/>
  </r>
  <r>
    <x v="457"/>
    <d v="2025-02-23T00:00:00"/>
    <x v="28"/>
    <n v="5"/>
    <d v="2025-03-08T00:00:00"/>
    <x v="2"/>
    <x v="2"/>
    <x v="1"/>
    <n v="83.769996643066406"/>
    <x v="1"/>
  </r>
  <r>
    <x v="458"/>
    <d v="2025-01-20T00:00:00"/>
    <x v="37"/>
    <n v="7"/>
    <d v="2025-01-30T00:00:00"/>
    <x v="0"/>
    <x v="2"/>
    <x v="3"/>
    <n v="271.08999633789063"/>
    <x v="0"/>
  </r>
  <r>
    <x v="459"/>
    <d v="2025-01-16T00:00:00"/>
    <x v="26"/>
    <n v="7"/>
    <d v="2025-02-02T00:00:00"/>
    <x v="0"/>
    <x v="2"/>
    <x v="1"/>
    <n v="200.3800048828125"/>
    <x v="1"/>
  </r>
  <r>
    <x v="460"/>
    <d v="2025-01-24T00:00:00"/>
    <x v="50"/>
    <n v="7"/>
    <d v="2025-02-06T00:00:00"/>
    <x v="0"/>
    <x v="2"/>
    <x v="3"/>
    <n v="167.71000671386719"/>
    <x v="1"/>
  </r>
  <r>
    <x v="461"/>
    <d v="2025-02-16T00:00:00"/>
    <x v="47"/>
    <s v=""/>
    <m/>
    <x v="1"/>
    <x v="0"/>
    <x v="2"/>
    <n v="263.77999877929688"/>
    <x v="2"/>
  </r>
  <r>
    <x v="462"/>
    <d v="2025-02-09T00:00:00"/>
    <x v="54"/>
    <s v=""/>
    <m/>
    <x v="1"/>
    <x v="2"/>
    <x v="0"/>
    <n v="891.719970703125"/>
    <x v="2"/>
  </r>
  <r>
    <x v="463"/>
    <d v="2025-01-06T00:00:00"/>
    <x v="5"/>
    <n v="2"/>
    <d v="2025-01-11T00:00:00"/>
    <x v="0"/>
    <x v="1"/>
    <x v="0"/>
    <n v="387.8900146484375"/>
    <x v="1"/>
  </r>
  <r>
    <x v="464"/>
    <d v="2025-02-05T00:00:00"/>
    <x v="11"/>
    <n v="4"/>
    <d v="2025-02-19T00:00:00"/>
    <x v="2"/>
    <x v="3"/>
    <x v="0"/>
    <n v="1043.75"/>
    <x v="1"/>
  </r>
  <r>
    <x v="465"/>
    <d v="2025-01-11T00:00:00"/>
    <x v="20"/>
    <n v="2"/>
    <d v="2025-01-21T00:00:00"/>
    <x v="2"/>
    <x v="3"/>
    <x v="3"/>
    <n v="653.91998291015625"/>
    <x v="1"/>
  </r>
  <r>
    <x v="466"/>
    <d v="2025-02-04T00:00:00"/>
    <x v="38"/>
    <n v="3"/>
    <d v="2025-02-15T00:00:00"/>
    <x v="2"/>
    <x v="2"/>
    <x v="3"/>
    <n v="373.91000366210938"/>
    <x v="1"/>
  </r>
  <r>
    <x v="467"/>
    <d v="2025-02-25T00:00:00"/>
    <x v="52"/>
    <n v="7"/>
    <d v="2025-03-08T00:00:00"/>
    <x v="0"/>
    <x v="1"/>
    <x v="3"/>
    <n v="686.79998779296875"/>
    <x v="1"/>
  </r>
  <r>
    <x v="468"/>
    <d v="2025-02-18T00:00:00"/>
    <x v="15"/>
    <n v="4"/>
    <d v="2025-03-01T00:00:00"/>
    <x v="1"/>
    <x v="1"/>
    <x v="3"/>
    <n v="54.220001220703125"/>
    <x v="1"/>
  </r>
  <r>
    <x v="469"/>
    <d v="2025-01-11T00:00:00"/>
    <x v="41"/>
    <n v="6"/>
    <d v="2025-01-21T00:00:00"/>
    <x v="0"/>
    <x v="2"/>
    <x v="0"/>
    <n v="291.80999755859375"/>
    <x v="1"/>
  </r>
  <r>
    <x v="470"/>
    <d v="2025-02-16T00:00:00"/>
    <x v="4"/>
    <n v="1"/>
    <d v="2025-02-22T00:00:00"/>
    <x v="0"/>
    <x v="1"/>
    <x v="2"/>
    <n v="914.010009765625"/>
    <x v="1"/>
  </r>
  <r>
    <x v="471"/>
    <d v="2025-01-12T00:00:00"/>
    <x v="23"/>
    <n v="7"/>
    <d v="2025-01-20T00:00:00"/>
    <x v="1"/>
    <x v="3"/>
    <x v="3"/>
    <n v="717.20001220703125"/>
    <x v="1"/>
  </r>
  <r>
    <x v="472"/>
    <d v="2025-02-07T00:00:00"/>
    <x v="11"/>
    <s v=""/>
    <m/>
    <x v="1"/>
    <x v="3"/>
    <x v="1"/>
    <n v="837.46002197265625"/>
    <x v="2"/>
  </r>
  <r>
    <x v="473"/>
    <d v="2025-02-26T00:00:00"/>
    <x v="19"/>
    <n v="4"/>
    <d v="2025-03-03T00:00:00"/>
    <x v="1"/>
    <x v="2"/>
    <x v="2"/>
    <n v="729.3599853515625"/>
    <x v="0"/>
  </r>
  <r>
    <x v="474"/>
    <d v="2025-02-18T00:00:00"/>
    <x v="15"/>
    <n v="2"/>
    <d v="2025-02-27T00:00:00"/>
    <x v="2"/>
    <x v="0"/>
    <x v="1"/>
    <n v="743.6099853515625"/>
    <x v="1"/>
  </r>
  <r>
    <x v="475"/>
    <d v="2025-01-31T00:00:00"/>
    <x v="8"/>
    <n v="7"/>
    <d v="2025-02-12T00:00:00"/>
    <x v="1"/>
    <x v="3"/>
    <x v="0"/>
    <n v="81.709999084472656"/>
    <x v="1"/>
  </r>
  <r>
    <x v="476"/>
    <d v="2025-01-20T00:00:00"/>
    <x v="50"/>
    <n v="2"/>
    <d v="2025-02-01T00:00:00"/>
    <x v="1"/>
    <x v="3"/>
    <x v="1"/>
    <n v="1164.0899658203125"/>
    <x v="1"/>
  </r>
  <r>
    <x v="477"/>
    <d v="2025-01-08T00:00:00"/>
    <x v="55"/>
    <s v=""/>
    <m/>
    <x v="1"/>
    <x v="3"/>
    <x v="1"/>
    <n v="705.15997314453125"/>
    <x v="2"/>
  </r>
  <r>
    <x v="478"/>
    <d v="2025-01-14T00:00:00"/>
    <x v="37"/>
    <n v="3"/>
    <d v="2025-01-26T00:00:00"/>
    <x v="0"/>
    <x v="3"/>
    <x v="3"/>
    <n v="517.219970703125"/>
    <x v="1"/>
  </r>
  <r>
    <x v="479"/>
    <d v="2025-02-23T00:00:00"/>
    <x v="47"/>
    <n v="2"/>
    <d v="2025-02-26T00:00:00"/>
    <x v="2"/>
    <x v="0"/>
    <x v="3"/>
    <n v="296.8900146484375"/>
    <x v="1"/>
  </r>
  <r>
    <x v="480"/>
    <d v="2025-01-12T00:00:00"/>
    <x v="13"/>
    <s v=""/>
    <m/>
    <x v="1"/>
    <x v="1"/>
    <x v="2"/>
    <n v="654.4000244140625"/>
    <x v="2"/>
  </r>
  <r>
    <x v="481"/>
    <d v="2025-02-15T00:00:00"/>
    <x v="29"/>
    <s v=""/>
    <m/>
    <x v="0"/>
    <x v="0"/>
    <x v="1"/>
    <n v="565.6500244140625"/>
    <x v="2"/>
  </r>
  <r>
    <x v="482"/>
    <d v="2025-01-27T00:00:00"/>
    <x v="24"/>
    <n v="7"/>
    <d v="2025-02-10T00:00:00"/>
    <x v="2"/>
    <x v="0"/>
    <x v="0"/>
    <n v="286.58999633789063"/>
    <x v="1"/>
  </r>
  <r>
    <x v="483"/>
    <d v="2025-02-26T00:00:00"/>
    <x v="28"/>
    <n v="7"/>
    <d v="2025-03-10T00:00:00"/>
    <x v="1"/>
    <x v="0"/>
    <x v="3"/>
    <n v="1194.800048828125"/>
    <x v="0"/>
  </r>
  <r>
    <x v="484"/>
    <d v="2025-01-20T00:00:00"/>
    <x v="37"/>
    <s v=""/>
    <m/>
    <x v="1"/>
    <x v="3"/>
    <x v="0"/>
    <n v="824.70001220703125"/>
    <x v="2"/>
  </r>
  <r>
    <x v="485"/>
    <d v="2025-02-26T00:00:00"/>
    <x v="28"/>
    <n v="2"/>
    <d v="2025-03-05T00:00:00"/>
    <x v="0"/>
    <x v="1"/>
    <x v="1"/>
    <n v="390.1099853515625"/>
    <x v="0"/>
  </r>
  <r>
    <x v="486"/>
    <d v="2025-02-14T00:00:00"/>
    <x v="29"/>
    <n v="1"/>
    <d v="2025-02-24T00:00:00"/>
    <x v="1"/>
    <x v="2"/>
    <x v="1"/>
    <n v="889.1300048828125"/>
    <x v="1"/>
  </r>
  <r>
    <x v="487"/>
    <d v="2025-01-12T00:00:00"/>
    <x v="25"/>
    <n v="6"/>
    <d v="2025-01-24T00:00:00"/>
    <x v="1"/>
    <x v="1"/>
    <x v="0"/>
    <n v="748.0999755859375"/>
    <x v="0"/>
  </r>
  <r>
    <x v="488"/>
    <d v="2025-02-18T00:00:00"/>
    <x v="12"/>
    <n v="5"/>
    <d v="2025-02-27T00:00:00"/>
    <x v="1"/>
    <x v="2"/>
    <x v="1"/>
    <n v="481.82998657226563"/>
    <x v="1"/>
  </r>
  <r>
    <x v="489"/>
    <d v="2025-02-18T00:00:00"/>
    <x v="60"/>
    <n v="5"/>
    <d v="2025-02-24T00:00:00"/>
    <x v="2"/>
    <x v="0"/>
    <x v="3"/>
    <n v="925.78997802734375"/>
    <x v="1"/>
  </r>
  <r>
    <x v="490"/>
    <d v="2025-02-21T00:00:00"/>
    <x v="15"/>
    <s v=""/>
    <m/>
    <x v="2"/>
    <x v="3"/>
    <x v="1"/>
    <n v="1068.6700439453125"/>
    <x v="2"/>
  </r>
  <r>
    <x v="491"/>
    <d v="2025-01-30T00:00:00"/>
    <x v="44"/>
    <n v="7"/>
    <d v="2025-02-11T00:00:00"/>
    <x v="1"/>
    <x v="1"/>
    <x v="2"/>
    <n v="1023.1699829101563"/>
    <x v="0"/>
  </r>
  <r>
    <x v="492"/>
    <d v="2025-01-02T00:00:00"/>
    <x v="63"/>
    <n v="1"/>
    <d v="2025-01-09T00:00:00"/>
    <x v="0"/>
    <x v="0"/>
    <x v="3"/>
    <n v="302.42001342773438"/>
    <x v="0"/>
  </r>
  <r>
    <x v="493"/>
    <d v="2025-01-09T00:00:00"/>
    <x v="32"/>
    <n v="3"/>
    <d v="2025-01-17T00:00:00"/>
    <x v="2"/>
    <x v="3"/>
    <x v="2"/>
    <n v="508.22000122070313"/>
    <x v="1"/>
  </r>
  <r>
    <x v="494"/>
    <d v="2025-02-23T00:00:00"/>
    <x v="16"/>
    <n v="7"/>
    <d v="2025-03-11T00:00:00"/>
    <x v="0"/>
    <x v="3"/>
    <x v="1"/>
    <n v="1211.18994140625"/>
    <x v="1"/>
  </r>
  <r>
    <x v="495"/>
    <d v="2025-02-25T00:00:00"/>
    <x v="19"/>
    <n v="7"/>
    <d v="2025-03-06T00:00:00"/>
    <x v="0"/>
    <x v="2"/>
    <x v="3"/>
    <n v="713.94000244140625"/>
    <x v="0"/>
  </r>
  <r>
    <x v="496"/>
    <d v="2025-02-04T00:00:00"/>
    <x v="54"/>
    <n v="7"/>
    <d v="2025-02-21T00:00:00"/>
    <x v="2"/>
    <x v="2"/>
    <x v="1"/>
    <n v="300.01998901367188"/>
    <x v="0"/>
  </r>
  <r>
    <x v="497"/>
    <d v="2025-02-18T00:00:00"/>
    <x v="19"/>
    <n v="6"/>
    <d v="2025-03-05T00:00:00"/>
    <x v="2"/>
    <x v="2"/>
    <x v="0"/>
    <n v="52.849998474121094"/>
    <x v="0"/>
  </r>
  <r>
    <x v="498"/>
    <d v="2025-01-31T00:00:00"/>
    <x v="43"/>
    <n v="6"/>
    <d v="2025-02-15T00:00:00"/>
    <x v="1"/>
    <x v="0"/>
    <x v="0"/>
    <n v="157.82000732421875"/>
    <x v="0"/>
  </r>
  <r>
    <x v="499"/>
    <d v="2025-01-09T00:00:00"/>
    <x v="20"/>
    <n v="1"/>
    <d v="2025-01-20T00:00:00"/>
    <x v="2"/>
    <x v="2"/>
    <x v="3"/>
    <n v="1150.72998046875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C31BC2-0E1B-499B-99E3-1D8D96AC36CB}" name="PivotTable3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10">
  <location ref="A20:E26" firstHeaderRow="1" firstDataRow="2" firstDataCol="1"/>
  <pivotFields count="12">
    <pivotField dataField="1" showAll="0"/>
    <pivotField numFmtId="164" showAll="0"/>
    <pivotField numFmtId="164" showAll="0">
      <items count="67">
        <item x="64"/>
        <item x="39"/>
        <item x="58"/>
        <item x="62"/>
        <item x="48"/>
        <item x="63"/>
        <item x="5"/>
        <item x="21"/>
        <item x="42"/>
        <item x="56"/>
        <item x="23"/>
        <item x="32"/>
        <item x="41"/>
        <item x="55"/>
        <item x="36"/>
        <item x="25"/>
        <item x="20"/>
        <item x="14"/>
        <item x="13"/>
        <item x="18"/>
        <item x="37"/>
        <item x="27"/>
        <item x="35"/>
        <item x="26"/>
        <item x="7"/>
        <item x="9"/>
        <item x="30"/>
        <item x="50"/>
        <item x="57"/>
        <item x="33"/>
        <item x="61"/>
        <item x="24"/>
        <item x="44"/>
        <item x="8"/>
        <item x="45"/>
        <item x="17"/>
        <item x="34"/>
        <item x="43"/>
        <item x="46"/>
        <item x="3"/>
        <item x="38"/>
        <item x="1"/>
        <item x="54"/>
        <item x="11"/>
        <item x="51"/>
        <item x="22"/>
        <item x="0"/>
        <item x="60"/>
        <item x="10"/>
        <item x="4"/>
        <item x="12"/>
        <item x="29"/>
        <item x="47"/>
        <item x="15"/>
        <item x="49"/>
        <item x="19"/>
        <item x="31"/>
        <item x="52"/>
        <item x="2"/>
        <item x="28"/>
        <item x="16"/>
        <item x="6"/>
        <item x="53"/>
        <item x="59"/>
        <item x="40"/>
        <item x="65"/>
        <item t="default"/>
      </items>
    </pivotField>
    <pivotField showAll="0"/>
    <pivotField showAll="0"/>
    <pivotField showAll="0"/>
    <pivotField showAll="0"/>
    <pivotField axis="axisRow" showAll="0" sortType="descending">
      <items count="5">
        <item x="2"/>
        <item x="0"/>
        <item x="3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5" showAll="0"/>
    <pivotField axis="axisCol" showAll="0">
      <items count="4">
        <item x="0"/>
        <item x="1"/>
        <item x="2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7"/>
  </rowFields>
  <rowItems count="5">
    <i>
      <x v="3"/>
    </i>
    <i>
      <x v="1"/>
    </i>
    <i>
      <x v="2"/>
    </i>
    <i>
      <x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Dispute" fld="0" subtotal="count" baseField="7" baseItem="2"/>
  </dataFields>
  <chartFormats count="20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4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4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4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5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5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6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6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6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7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7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7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8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8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8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7E14E4-9F83-4ADA-B791-02F2B4EE7439}" name="PivotTable2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>
  <location ref="A13:B18" firstHeaderRow="1" firstDataRow="1" firstDataCol="1"/>
  <pivotFields count="12">
    <pivotField showAll="0"/>
    <pivotField numFmtId="164" showAll="0"/>
    <pivotField numFmtId="164" showAll="0">
      <items count="67">
        <item x="64"/>
        <item x="39"/>
        <item x="58"/>
        <item x="62"/>
        <item x="48"/>
        <item x="63"/>
        <item x="5"/>
        <item x="21"/>
        <item x="42"/>
        <item x="56"/>
        <item x="23"/>
        <item x="32"/>
        <item x="41"/>
        <item x="55"/>
        <item x="36"/>
        <item x="25"/>
        <item x="20"/>
        <item x="14"/>
        <item x="13"/>
        <item x="18"/>
        <item x="37"/>
        <item x="27"/>
        <item x="35"/>
        <item x="26"/>
        <item x="7"/>
        <item x="9"/>
        <item x="30"/>
        <item x="50"/>
        <item x="57"/>
        <item x="33"/>
        <item x="61"/>
        <item x="24"/>
        <item x="44"/>
        <item x="8"/>
        <item x="45"/>
        <item x="17"/>
        <item x="34"/>
        <item x="43"/>
        <item x="46"/>
        <item x="3"/>
        <item x="38"/>
        <item x="1"/>
        <item x="54"/>
        <item x="11"/>
        <item x="51"/>
        <item x="22"/>
        <item x="0"/>
        <item x="60"/>
        <item x="10"/>
        <item x="4"/>
        <item x="12"/>
        <item x="29"/>
        <item x="47"/>
        <item x="15"/>
        <item x="49"/>
        <item x="19"/>
        <item x="31"/>
        <item x="52"/>
        <item x="2"/>
        <item x="28"/>
        <item x="16"/>
        <item x="6"/>
        <item x="53"/>
        <item x="59"/>
        <item x="40"/>
        <item x="65"/>
        <item t="default"/>
      </items>
    </pivotField>
    <pivotField showAll="0"/>
    <pivotField showAll="0"/>
    <pivotField showAll="0">
      <items count="4">
        <item x="0"/>
        <item x="1"/>
        <item x="2"/>
        <item t="default"/>
      </items>
    </pivotField>
    <pivotField axis="axisRow" showAll="0">
      <items count="5">
        <item x="2"/>
        <item x="0"/>
        <item x="3"/>
        <item x="1"/>
        <item t="default"/>
      </items>
    </pivotField>
    <pivotField showAll="0"/>
    <pivotField dataField="1" numFmtId="165"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Average of Refund_Amount" fld="8" subtotal="average" baseField="6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DE9E13-50BF-46EB-A77E-A4FDAEE50CDB}" name="PivotTable1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5">
  <location ref="A3:C8" firstHeaderRow="0" firstDataRow="1" firstDataCol="1"/>
  <pivotFields count="12">
    <pivotField dataField="1" showAll="0"/>
    <pivotField numFmtId="164" showAll="0"/>
    <pivotField numFmtId="164" showAll="0">
      <items count="67">
        <item x="64"/>
        <item x="39"/>
        <item x="58"/>
        <item x="62"/>
        <item x="48"/>
        <item x="63"/>
        <item x="5"/>
        <item x="21"/>
        <item x="42"/>
        <item x="56"/>
        <item x="23"/>
        <item x="32"/>
        <item x="41"/>
        <item x="55"/>
        <item x="36"/>
        <item x="25"/>
        <item x="20"/>
        <item x="14"/>
        <item x="13"/>
        <item x="18"/>
        <item x="37"/>
        <item x="27"/>
        <item x="35"/>
        <item x="26"/>
        <item x="7"/>
        <item x="9"/>
        <item x="30"/>
        <item x="50"/>
        <item x="57"/>
        <item x="33"/>
        <item x="61"/>
        <item x="24"/>
        <item x="44"/>
        <item x="8"/>
        <item x="45"/>
        <item x="17"/>
        <item x="34"/>
        <item x="43"/>
        <item x="46"/>
        <item x="3"/>
        <item x="38"/>
        <item x="1"/>
        <item x="54"/>
        <item x="11"/>
        <item x="51"/>
        <item x="22"/>
        <item x="0"/>
        <item x="60"/>
        <item x="10"/>
        <item x="4"/>
        <item x="12"/>
        <item x="29"/>
        <item x="47"/>
        <item x="15"/>
        <item x="49"/>
        <item x="19"/>
        <item x="31"/>
        <item x="52"/>
        <item x="2"/>
        <item x="28"/>
        <item x="16"/>
        <item x="6"/>
        <item x="53"/>
        <item x="59"/>
        <item x="40"/>
        <item x="65"/>
        <item t="default"/>
      </items>
    </pivotField>
    <pivotField showAll="0"/>
    <pivotField showAll="0"/>
    <pivotField showAll="0">
      <items count="4">
        <item x="0"/>
        <item x="1"/>
        <item x="2"/>
        <item t="default"/>
      </items>
    </pivotField>
    <pivotField axis="axisRow" showAll="0" sortType="descending">
      <items count="5">
        <item x="2"/>
        <item x="0"/>
        <item x="3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numFmtId="165"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6"/>
  </rowFields>
  <rowItems count="5">
    <i>
      <x/>
    </i>
    <i>
      <x v="2"/>
    </i>
    <i>
      <x v="3"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efund_Amount" fld="8" baseField="0" baseItem="0" numFmtId="165"/>
    <dataField name="Count of Dispute" fld="0" subtotal="count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7EDC42-3134-404E-A658-C3334E54363C}" name="PivotTable4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6">
  <location ref="A32:E38" firstHeaderRow="1" firstDataRow="2" firstDataCol="1"/>
  <pivotFields count="12">
    <pivotField dataField="1" showAll="0"/>
    <pivotField numFmtId="164" showAll="0"/>
    <pivotField numFmtId="164" showAll="0">
      <items count="67">
        <item x="64"/>
        <item x="39"/>
        <item x="58"/>
        <item x="62"/>
        <item x="48"/>
        <item x="63"/>
        <item x="5"/>
        <item x="21"/>
        <item x="42"/>
        <item x="56"/>
        <item x="23"/>
        <item x="32"/>
        <item x="41"/>
        <item x="55"/>
        <item x="36"/>
        <item x="25"/>
        <item x="20"/>
        <item x="14"/>
        <item x="13"/>
        <item x="18"/>
        <item x="37"/>
        <item x="27"/>
        <item x="35"/>
        <item x="26"/>
        <item x="7"/>
        <item x="9"/>
        <item x="30"/>
        <item x="50"/>
        <item x="57"/>
        <item x="33"/>
        <item x="61"/>
        <item x="24"/>
        <item x="44"/>
        <item x="8"/>
        <item x="45"/>
        <item x="17"/>
        <item x="34"/>
        <item x="43"/>
        <item x="46"/>
        <item x="3"/>
        <item x="38"/>
        <item x="1"/>
        <item x="54"/>
        <item x="11"/>
        <item x="51"/>
        <item x="22"/>
        <item x="0"/>
        <item x="60"/>
        <item x="10"/>
        <item x="4"/>
        <item x="12"/>
        <item x="29"/>
        <item x="47"/>
        <item x="15"/>
        <item x="49"/>
        <item x="19"/>
        <item x="31"/>
        <item x="52"/>
        <item x="2"/>
        <item x="28"/>
        <item x="16"/>
        <item x="6"/>
        <item x="53"/>
        <item x="59"/>
        <item x="40"/>
        <item x="65"/>
        <item t="default"/>
      </items>
    </pivotField>
    <pivotField showAll="0"/>
    <pivotField showAll="0"/>
    <pivotField showAll="0"/>
    <pivotField axis="axisRow" showAll="0">
      <items count="5">
        <item x="2"/>
        <item x="0"/>
        <item x="3"/>
        <item x="1"/>
        <item t="default"/>
      </items>
    </pivotField>
    <pivotField showAll="0"/>
    <pivotField numFmtId="165" showAll="0"/>
    <pivotField axis="axisCol" showAll="0">
      <items count="4">
        <item x="0"/>
        <item x="1"/>
        <item x="2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Dispute" fld="0" subtotal="count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AB7107-7C1D-4884-AC06-B2E70F27181C}" name="PivotTable5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46:B51" firstHeaderRow="1" firstDataRow="1" firstDataCol="1"/>
  <pivotFields count="12">
    <pivotField dataField="1" showAll="0">
      <items count="5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numFmtId="164" showAll="0"/>
    <pivotField numFmtId="164" showAll="0">
      <items count="67">
        <item x="64"/>
        <item x="39"/>
        <item x="58"/>
        <item x="62"/>
        <item x="48"/>
        <item x="63"/>
        <item x="5"/>
        <item x="21"/>
        <item x="42"/>
        <item x="56"/>
        <item x="23"/>
        <item x="32"/>
        <item x="41"/>
        <item x="55"/>
        <item x="36"/>
        <item x="25"/>
        <item x="20"/>
        <item x="14"/>
        <item x="13"/>
        <item x="18"/>
        <item x="37"/>
        <item x="27"/>
        <item x="35"/>
        <item x="26"/>
        <item x="7"/>
        <item x="9"/>
        <item x="30"/>
        <item x="50"/>
        <item x="57"/>
        <item x="33"/>
        <item x="61"/>
        <item x="24"/>
        <item x="44"/>
        <item x="8"/>
        <item x="45"/>
        <item x="17"/>
        <item x="34"/>
        <item x="43"/>
        <item x="46"/>
        <item x="3"/>
        <item x="38"/>
        <item x="1"/>
        <item x="54"/>
        <item x="11"/>
        <item x="51"/>
        <item x="22"/>
        <item x="0"/>
        <item x="60"/>
        <item x="10"/>
        <item x="4"/>
        <item x="12"/>
        <item x="29"/>
        <item x="47"/>
        <item x="15"/>
        <item x="49"/>
        <item x="19"/>
        <item x="31"/>
        <item x="52"/>
        <item x="2"/>
        <item x="28"/>
        <item x="16"/>
        <item x="6"/>
        <item x="53"/>
        <item x="59"/>
        <item x="40"/>
        <item x="65"/>
        <item t="default"/>
      </items>
    </pivotField>
    <pivotField showAll="0"/>
    <pivotField showAll="0"/>
    <pivotField showAll="0"/>
    <pivotField showAll="0"/>
    <pivotField axis="axisRow" showAll="0">
      <items count="5">
        <item x="2"/>
        <item x="0"/>
        <item x="3"/>
        <item x="1"/>
        <item t="default"/>
      </items>
    </pivotField>
    <pivotField numFmtId="165"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Dispute" fld="0" subtotal="count" baseField="0" baseItem="0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B0167E-5E57-4328-A4AD-90A1C23E8ED5}" name="Dispute" displayName="Dispute" ref="A1:K501" totalsRowShown="0">
  <autoFilter ref="A1:K501" xr:uid="{0DB0167E-5E57-4328-A4AD-90A1C23E8ED5}"/>
  <tableColumns count="11">
    <tableColumn id="1" xr3:uid="{D62A17CA-E9E6-46BC-B5CE-4EF658A67D3B}" name="Dispute"/>
    <tableColumn id="2" xr3:uid="{55F2F57A-93E1-4B78-B051-98C8EAC47F3E}" name="Order_Date" dataDxfId="4"/>
    <tableColumn id="3" xr3:uid="{60FD2B90-C925-46B6-9940-DF514A1E46A0}" name="Dispute_Date" dataDxfId="3"/>
    <tableColumn id="11" xr3:uid="{E533D2C8-4C52-4F81-8C8D-99698C2DC4B9}" name="Time_Line" dataDxfId="2">
      <calculatedColumnFormula>IF(OR(Dispute[[#This Row],[Resolution_Date]]="",E2 = 0), "", E2-C2)</calculatedColumnFormula>
    </tableColumn>
    <tableColumn id="4" xr3:uid="{8B51E060-52AE-4F55-9175-F71881426D08}" name="Resolution_Date" dataDxfId="1"/>
    <tableColumn id="5" xr3:uid="{AB751062-AB4F-4DBE-AAC1-640A73A3C035}" name="Customer_Segment"/>
    <tableColumn id="6" xr3:uid="{A519C5A6-159E-4B55-B1DA-315DD578C58E}" name="Product_Category"/>
    <tableColumn id="7" xr3:uid="{AC932593-DF36-41C8-B2C6-B3C703B5654A}" name="Dispute_Reason"/>
    <tableColumn id="8" xr3:uid="{5EC669F0-391D-4975-9756-DC9350DA4F7D}" name="Refund_Amount" dataDxfId="0"/>
    <tableColumn id="9" xr3:uid="{9B8DED29-93D9-4AFF-83E7-BC304D244CAD}" name="Status"/>
    <tableColumn id="10" xr3:uid="{BC329C1D-D6D1-4EE7-B1FA-436BF9D219D0}" name="Status_Bucket">
      <calculatedColumnFormula>IF(Dispute[[#This Row],[Status]] = "In Progress", IF(Dispute[[#This Row],[Time_Line]]&gt;5, "Overdue", "Within SLA"), "Closed")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ispute_Date" xr10:uid="{437200C5-DEBE-4162-B932-E4F0B8425C95}" sourceName="Dispute_Date">
  <pivotTables>
    <pivotTable tabId="3" name="PivotTable3"/>
    <pivotTable tabId="3" name="PivotTable1"/>
    <pivotTable tabId="3" name="PivotTable2"/>
    <pivotTable tabId="3" name="PivotTable4"/>
    <pivotTable tabId="3" name="PivotTable5"/>
  </pivotTables>
  <state minimalRefreshVersion="6" lastRefreshVersion="6" pivotCacheId="202443949" filterType="unknown">
    <bounds startDate="2025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ispute_Date" xr10:uid="{9146B49D-E365-4C4E-9D71-30905F5B3A4F}" cache="NativeTimeline_Dispute_Date" caption="Dispute_Date" level="2" selectionLevel="2" scrollPosition="2025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11/relationships/timeline" Target="../timelines/timelin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F1C0B-DDB1-4BEE-82A2-DF8C75C90066}">
  <sheetPr codeName="Sheet1"/>
  <dimension ref="A1:M501"/>
  <sheetViews>
    <sheetView topLeftCell="B1" workbookViewId="0">
      <selection activeCell="H7" sqref="H7"/>
    </sheetView>
  </sheetViews>
  <sheetFormatPr defaultRowHeight="15" x14ac:dyDescent="0.25"/>
  <cols>
    <col min="1" max="1" width="10.140625" customWidth="1"/>
    <col min="2" max="2" width="13.42578125" style="1" customWidth="1"/>
    <col min="3" max="3" width="15.140625" style="1" customWidth="1"/>
    <col min="4" max="4" width="15.140625" style="4" customWidth="1"/>
    <col min="5" max="5" width="17.85546875" style="1" customWidth="1"/>
    <col min="6" max="6" width="20.5703125" customWidth="1"/>
    <col min="7" max="7" width="18.85546875" customWidth="1"/>
    <col min="8" max="8" width="17.42578125" customWidth="1"/>
    <col min="9" max="9" width="17.7109375" style="2" customWidth="1"/>
    <col min="10" max="10" width="10.7109375" bestFit="1" customWidth="1"/>
    <col min="11" max="11" width="15.85546875" bestFit="1" customWidth="1"/>
    <col min="13" max="13" width="11.140625" bestFit="1" customWidth="1"/>
  </cols>
  <sheetData>
    <row r="1" spans="1:13" x14ac:dyDescent="0.25">
      <c r="A1" t="s">
        <v>522</v>
      </c>
      <c r="B1" s="1" t="s">
        <v>0</v>
      </c>
      <c r="C1" s="1" t="s">
        <v>1</v>
      </c>
      <c r="D1" s="4" t="s">
        <v>523</v>
      </c>
      <c r="E1" s="1" t="s">
        <v>2</v>
      </c>
      <c r="F1" t="s">
        <v>3</v>
      </c>
      <c r="G1" t="s">
        <v>4</v>
      </c>
      <c r="H1" t="s">
        <v>5</v>
      </c>
      <c r="I1" s="2" t="s">
        <v>6</v>
      </c>
      <c r="J1" t="s">
        <v>7</v>
      </c>
      <c r="K1" t="s">
        <v>528</v>
      </c>
    </row>
    <row r="2" spans="1:13" x14ac:dyDescent="0.25">
      <c r="A2" t="s">
        <v>8</v>
      </c>
      <c r="B2" s="1">
        <v>45700</v>
      </c>
      <c r="C2" s="1">
        <v>45706</v>
      </c>
      <c r="D2" s="4">
        <f>IF(OR(Dispute[[#This Row],[Resolution_Date]]="",E2 = 0), "", E2-C2)</f>
        <v>3</v>
      </c>
      <c r="E2" s="1">
        <v>45709</v>
      </c>
      <c r="F2" t="s">
        <v>10</v>
      </c>
      <c r="G2" t="s">
        <v>11</v>
      </c>
      <c r="H2" t="s">
        <v>12</v>
      </c>
      <c r="I2" s="2">
        <v>992.3900146484375</v>
      </c>
      <c r="J2" t="s">
        <v>9</v>
      </c>
      <c r="K2" t="str">
        <f>IF(Dispute[[#This Row],[Status]] = "In Progress", IF(Dispute[[#This Row],[Time_Line]]&gt;5, "Overdue", "Within SLA"), "Closed")</f>
        <v>Closed</v>
      </c>
    </row>
    <row r="3" spans="1:13" x14ac:dyDescent="0.25">
      <c r="A3" t="s">
        <v>13</v>
      </c>
      <c r="B3" s="1">
        <v>45700</v>
      </c>
      <c r="C3" s="1">
        <v>45701</v>
      </c>
      <c r="D3" s="4">
        <f>IF(OR(Dispute[[#This Row],[Resolution_Date]]="",E3 = 0), "", E3-C3)</f>
        <v>7</v>
      </c>
      <c r="E3" s="1">
        <v>45708</v>
      </c>
      <c r="F3" t="s">
        <v>15</v>
      </c>
      <c r="G3" t="s">
        <v>16</v>
      </c>
      <c r="H3" t="s">
        <v>12</v>
      </c>
      <c r="I3" s="2">
        <v>82.480003356933594</v>
      </c>
      <c r="J3" t="s">
        <v>14</v>
      </c>
      <c r="K3" t="str">
        <f>IF(Dispute[[#This Row],[Status]] = "In Progress", IF(Dispute[[#This Row],[Time_Line]]&gt;5, "Overdue", "Within SLA"), "Closed")</f>
        <v>Closed</v>
      </c>
    </row>
    <row r="4" spans="1:13" x14ac:dyDescent="0.25">
      <c r="A4" t="s">
        <v>17</v>
      </c>
      <c r="B4" s="1">
        <v>45714</v>
      </c>
      <c r="C4" s="1">
        <v>45718</v>
      </c>
      <c r="D4" s="4">
        <f>IF(OR(Dispute[[#This Row],[Resolution_Date]]="",E4 = 0), "", E4-C4)</f>
        <v>6</v>
      </c>
      <c r="E4" s="1">
        <v>45724</v>
      </c>
      <c r="F4" t="s">
        <v>15</v>
      </c>
      <c r="G4" t="s">
        <v>18</v>
      </c>
      <c r="H4" t="s">
        <v>19</v>
      </c>
      <c r="I4" s="2">
        <v>762.239990234375</v>
      </c>
      <c r="J4" t="s">
        <v>9</v>
      </c>
      <c r="K4" t="str">
        <f>IF(Dispute[[#This Row],[Status]] = "In Progress", IF(Dispute[[#This Row],[Time_Line]]&gt;5, "Overdue", "Within SLA"), "Closed")</f>
        <v>Closed</v>
      </c>
    </row>
    <row r="5" spans="1:13" x14ac:dyDescent="0.25">
      <c r="A5" t="s">
        <v>20</v>
      </c>
      <c r="B5" s="1">
        <v>45696</v>
      </c>
      <c r="C5" s="1">
        <v>45699</v>
      </c>
      <c r="D5" s="4">
        <f>IF(OR(Dispute[[#This Row],[Resolution_Date]]="",E5 = 0), "", E5-C5)</f>
        <v>6</v>
      </c>
      <c r="E5" s="1">
        <v>45705</v>
      </c>
      <c r="F5" t="s">
        <v>15</v>
      </c>
      <c r="G5" t="s">
        <v>16</v>
      </c>
      <c r="H5" t="s">
        <v>12</v>
      </c>
      <c r="I5" s="2">
        <v>287.239990234375</v>
      </c>
      <c r="J5" t="s">
        <v>14</v>
      </c>
      <c r="K5" t="str">
        <f>IF(Dispute[[#This Row],[Status]] = "In Progress", IF(Dispute[[#This Row],[Time_Line]]&gt;5, "Overdue", "Within SLA"), "Closed")</f>
        <v>Closed</v>
      </c>
      <c r="M5" s="3">
        <f>COUNTIFS(Dispute[Status], "Approved")/COUNT(Dispute[Order_Date])</f>
        <v>0.40600000000000003</v>
      </c>
    </row>
    <row r="6" spans="1:13" x14ac:dyDescent="0.25">
      <c r="A6" t="s">
        <v>21</v>
      </c>
      <c r="B6" s="1">
        <v>45699</v>
      </c>
      <c r="C6" s="1">
        <v>45709</v>
      </c>
      <c r="D6" s="4">
        <f>IF(OR(Dispute[[#This Row],[Resolution_Date]]="",E6 = 0), "", E6-C6)</f>
        <v>4</v>
      </c>
      <c r="E6" s="1">
        <v>45713</v>
      </c>
      <c r="F6" t="s">
        <v>10</v>
      </c>
      <c r="G6" t="s">
        <v>22</v>
      </c>
      <c r="H6" t="s">
        <v>23</v>
      </c>
      <c r="I6" s="2">
        <v>705.219970703125</v>
      </c>
      <c r="J6" t="s">
        <v>9</v>
      </c>
      <c r="K6" t="str">
        <f>IF(Dispute[[#This Row],[Status]] = "In Progress", IF(Dispute[[#This Row],[Time_Line]]&gt;5, "Overdue", "Within SLA"), "Closed")</f>
        <v>Closed</v>
      </c>
    </row>
    <row r="7" spans="1:13" x14ac:dyDescent="0.25">
      <c r="A7" t="s">
        <v>24</v>
      </c>
      <c r="B7" s="1">
        <v>45664</v>
      </c>
      <c r="C7" s="1">
        <v>45666</v>
      </c>
      <c r="D7" s="4">
        <f>IF(OR(Dispute[[#This Row],[Resolution_Date]]="",E7 = 0), "", E7-C7)</f>
        <v>2</v>
      </c>
      <c r="E7" s="1">
        <v>45668</v>
      </c>
      <c r="F7" t="s">
        <v>25</v>
      </c>
      <c r="G7" t="s">
        <v>18</v>
      </c>
      <c r="H7" t="s">
        <v>19</v>
      </c>
      <c r="I7" s="2">
        <v>1153.2900390625</v>
      </c>
      <c r="J7" t="s">
        <v>9</v>
      </c>
      <c r="K7" t="str">
        <f>IF(Dispute[[#This Row],[Status]] = "In Progress", IF(Dispute[[#This Row],[Time_Line]]&gt;5, "Overdue", "Within SLA"), "Closed")</f>
        <v>Closed</v>
      </c>
      <c r="M7">
        <f>COUNTA(Dispute[Dispute])</f>
        <v>500</v>
      </c>
    </row>
    <row r="8" spans="1:13" x14ac:dyDescent="0.25">
      <c r="A8" t="s">
        <v>26</v>
      </c>
      <c r="B8" s="1">
        <v>45716</v>
      </c>
      <c r="C8" s="1">
        <v>45721</v>
      </c>
      <c r="D8" s="4">
        <f>IF(OR(Dispute[[#This Row],[Resolution_Date]]="",E8 = 0), "", E8-C8)</f>
        <v>2</v>
      </c>
      <c r="E8" s="1">
        <v>45723</v>
      </c>
      <c r="F8" t="s">
        <v>15</v>
      </c>
      <c r="G8" t="s">
        <v>18</v>
      </c>
      <c r="H8" t="s">
        <v>19</v>
      </c>
      <c r="I8" s="2">
        <v>870.280029296875</v>
      </c>
      <c r="J8" t="s">
        <v>9</v>
      </c>
      <c r="K8" t="str">
        <f>IF(Dispute[[#This Row],[Status]] = "In Progress", IF(Dispute[[#This Row],[Time_Line]]&gt;5, "Overdue", "Within SLA"), "Closed")</f>
        <v>Closed</v>
      </c>
    </row>
    <row r="9" spans="1:13" x14ac:dyDescent="0.25">
      <c r="A9" t="s">
        <v>27</v>
      </c>
      <c r="B9" s="1">
        <v>45677</v>
      </c>
      <c r="C9" s="1">
        <v>45684</v>
      </c>
      <c r="D9" s="4">
        <f>IF(OR(Dispute[[#This Row],[Resolution_Date]]="",E9 = 0), "", E9-C9)</f>
        <v>2</v>
      </c>
      <c r="E9" s="1">
        <v>45686</v>
      </c>
      <c r="F9" t="s">
        <v>25</v>
      </c>
      <c r="G9" t="s">
        <v>18</v>
      </c>
      <c r="H9" t="s">
        <v>12</v>
      </c>
      <c r="I9" s="2">
        <v>328.6400146484375</v>
      </c>
      <c r="J9" t="s">
        <v>14</v>
      </c>
      <c r="K9" t="str">
        <f>IF(Dispute[[#This Row],[Status]] = "In Progress", IF(Dispute[[#This Row],[Time_Line]]&gt;5, "Overdue", "Within SLA"), "Closed")</f>
        <v>Closed</v>
      </c>
    </row>
    <row r="10" spans="1:13" x14ac:dyDescent="0.25">
      <c r="A10" t="s">
        <v>28</v>
      </c>
      <c r="B10" s="1">
        <v>45705</v>
      </c>
      <c r="C10" s="1">
        <v>45709</v>
      </c>
      <c r="D10" s="4">
        <f>IF(OR(Dispute[[#This Row],[Resolution_Date]]="",E10 = 0), "", E10-C10)</f>
        <v>7</v>
      </c>
      <c r="E10" s="1">
        <v>45716</v>
      </c>
      <c r="F10" t="s">
        <v>15</v>
      </c>
      <c r="G10" t="s">
        <v>18</v>
      </c>
      <c r="H10" t="s">
        <v>23</v>
      </c>
      <c r="I10" s="2">
        <v>688.25</v>
      </c>
      <c r="J10" t="s">
        <v>14</v>
      </c>
      <c r="K10" t="str">
        <f>IF(Dispute[[#This Row],[Status]] = "In Progress", IF(Dispute[[#This Row],[Time_Line]]&gt;5, "Overdue", "Within SLA"), "Closed")</f>
        <v>Closed</v>
      </c>
    </row>
    <row r="11" spans="1:13" x14ac:dyDescent="0.25">
      <c r="A11" t="s">
        <v>29</v>
      </c>
      <c r="B11" s="1">
        <v>45699</v>
      </c>
      <c r="C11" s="1">
        <v>45709</v>
      </c>
      <c r="D11" s="4">
        <f>IF(OR(Dispute[[#This Row],[Resolution_Date]]="",E11 = 0), "", E11-C11)</f>
        <v>1</v>
      </c>
      <c r="E11" s="1">
        <v>45710</v>
      </c>
      <c r="F11" t="s">
        <v>10</v>
      </c>
      <c r="G11" t="s">
        <v>18</v>
      </c>
      <c r="H11" t="s">
        <v>30</v>
      </c>
      <c r="I11" s="2">
        <v>617.94000244140625</v>
      </c>
      <c r="J11" t="s">
        <v>14</v>
      </c>
      <c r="K11" t="str">
        <f>IF(Dispute[[#This Row],[Status]] = "In Progress", IF(Dispute[[#This Row],[Time_Line]]&gt;5, "Overdue", "Within SLA"), "Closed")</f>
        <v>Closed</v>
      </c>
    </row>
    <row r="12" spans="1:13" x14ac:dyDescent="0.25">
      <c r="A12" t="s">
        <v>31</v>
      </c>
      <c r="B12" s="1">
        <v>45688</v>
      </c>
      <c r="C12" s="1">
        <v>45693</v>
      </c>
      <c r="D12" s="4">
        <f>IF(OR(Dispute[[#This Row],[Resolution_Date]]="",E12 = 0), "", E12-C12)</f>
        <v>3</v>
      </c>
      <c r="E12" s="1">
        <v>45696</v>
      </c>
      <c r="F12" t="s">
        <v>25</v>
      </c>
      <c r="G12" t="s">
        <v>11</v>
      </c>
      <c r="H12" t="s">
        <v>12</v>
      </c>
      <c r="I12" s="2">
        <v>88.099998474121094</v>
      </c>
      <c r="J12" t="s">
        <v>9</v>
      </c>
      <c r="K12" t="str">
        <f>IF(Dispute[[#This Row],[Status]] = "In Progress", IF(Dispute[[#This Row],[Time_Line]]&gt;5, "Overdue", "Within SLA"), "Closed")</f>
        <v>Closed</v>
      </c>
    </row>
    <row r="13" spans="1:13" x14ac:dyDescent="0.25">
      <c r="A13" t="s">
        <v>32</v>
      </c>
      <c r="B13" s="1">
        <v>45681</v>
      </c>
      <c r="C13" s="1">
        <v>45685</v>
      </c>
      <c r="D13" s="4">
        <f>IF(OR(Dispute[[#This Row],[Resolution_Date]]="",E13 = 0), "", E13-C13)</f>
        <v>2</v>
      </c>
      <c r="E13" s="1">
        <v>45687</v>
      </c>
      <c r="F13" t="s">
        <v>25</v>
      </c>
      <c r="G13" t="s">
        <v>22</v>
      </c>
      <c r="H13" t="s">
        <v>30</v>
      </c>
      <c r="I13" s="2">
        <v>202.55999755859375</v>
      </c>
      <c r="J13" t="s">
        <v>9</v>
      </c>
      <c r="K13" t="str">
        <f>IF(Dispute[[#This Row],[Status]] = "In Progress", IF(Dispute[[#This Row],[Time_Line]]&gt;5, "Overdue", "Within SLA"), "Closed")</f>
        <v>Closed</v>
      </c>
      <c r="M13" s="2">
        <f>SUM(I:I)/500</f>
        <v>601.22867943954463</v>
      </c>
    </row>
    <row r="14" spans="1:13" x14ac:dyDescent="0.25">
      <c r="A14" t="s">
        <v>33</v>
      </c>
      <c r="B14" s="1">
        <v>45714</v>
      </c>
      <c r="C14" s="1">
        <v>45721</v>
      </c>
      <c r="D14" s="4">
        <f>IF(OR(Dispute[[#This Row],[Resolution_Date]]="",E14 = 0), "", E14-C14)</f>
        <v>3</v>
      </c>
      <c r="E14" s="1">
        <v>45724</v>
      </c>
      <c r="F14" t="s">
        <v>10</v>
      </c>
      <c r="G14" t="s">
        <v>18</v>
      </c>
      <c r="H14" t="s">
        <v>12</v>
      </c>
      <c r="I14" s="2">
        <v>730.30999755859375</v>
      </c>
      <c r="J14" t="s">
        <v>9</v>
      </c>
      <c r="K14" t="str">
        <f>IF(Dispute[[#This Row],[Status]] = "In Progress", IF(Dispute[[#This Row],[Time_Line]]&gt;5, "Overdue", "Within SLA"), "Closed")</f>
        <v>Closed</v>
      </c>
    </row>
    <row r="15" spans="1:13" x14ac:dyDescent="0.25">
      <c r="A15" t="s">
        <v>34</v>
      </c>
      <c r="B15" s="1">
        <v>45707</v>
      </c>
      <c r="C15" s="1">
        <v>45708</v>
      </c>
      <c r="D15" s="4">
        <f>IF(OR(Dispute[[#This Row],[Resolution_Date]]="",E15 = 0), "", E15-C15)</f>
        <v>1</v>
      </c>
      <c r="E15" s="1">
        <v>45709</v>
      </c>
      <c r="F15" t="s">
        <v>25</v>
      </c>
      <c r="G15" t="s">
        <v>11</v>
      </c>
      <c r="H15" t="s">
        <v>23</v>
      </c>
      <c r="I15" s="2">
        <v>659.1500244140625</v>
      </c>
      <c r="J15" t="s">
        <v>9</v>
      </c>
      <c r="K15" t="str">
        <f>IF(Dispute[[#This Row],[Status]] = "In Progress", IF(Dispute[[#This Row],[Time_Line]]&gt;5, "Overdue", "Within SLA"), "Closed")</f>
        <v>Closed</v>
      </c>
    </row>
    <row r="16" spans="1:13" x14ac:dyDescent="0.25">
      <c r="A16" t="s">
        <v>35</v>
      </c>
      <c r="B16" s="1">
        <v>45697</v>
      </c>
      <c r="C16" s="1">
        <v>45703</v>
      </c>
      <c r="D16" s="4">
        <f>IF(OR(Dispute[[#This Row],[Resolution_Date]]="",E16 = 0), "", E16-C16)</f>
        <v>1</v>
      </c>
      <c r="E16" s="1">
        <v>45704</v>
      </c>
      <c r="F16" t="s">
        <v>10</v>
      </c>
      <c r="G16" t="s">
        <v>18</v>
      </c>
      <c r="H16" t="s">
        <v>19</v>
      </c>
      <c r="I16" s="2">
        <v>194.97999572753906</v>
      </c>
      <c r="J16" t="s">
        <v>9</v>
      </c>
      <c r="K16" t="str">
        <f>IF(Dispute[[#This Row],[Status]] = "In Progress", IF(Dispute[[#This Row],[Time_Line]]&gt;5, "Overdue", "Within SLA"), "Closed")</f>
        <v>Closed</v>
      </c>
    </row>
    <row r="17" spans="1:11" x14ac:dyDescent="0.25">
      <c r="A17" t="s">
        <v>36</v>
      </c>
      <c r="B17" s="1">
        <v>45700</v>
      </c>
      <c r="C17" s="1">
        <v>45710</v>
      </c>
      <c r="D17" s="4">
        <f>IF(OR(Dispute[[#This Row],[Resolution_Date]]="",E17 = 0), "", E17-C17)</f>
        <v>1</v>
      </c>
      <c r="E17" s="1">
        <v>45711</v>
      </c>
      <c r="F17" t="s">
        <v>15</v>
      </c>
      <c r="G17" t="s">
        <v>18</v>
      </c>
      <c r="H17" t="s">
        <v>19</v>
      </c>
      <c r="I17" s="2">
        <v>264.14999389648438</v>
      </c>
      <c r="J17" t="s">
        <v>14</v>
      </c>
      <c r="K17" t="str">
        <f>IF(Dispute[[#This Row],[Status]] = "In Progress", IF(Dispute[[#This Row],[Time_Line]]&gt;5, "Overdue", "Within SLA"), "Closed")</f>
        <v>Closed</v>
      </c>
    </row>
    <row r="18" spans="1:11" x14ac:dyDescent="0.25">
      <c r="A18" t="s">
        <v>37</v>
      </c>
      <c r="B18" s="1">
        <v>45677</v>
      </c>
      <c r="C18" s="1">
        <v>45678</v>
      </c>
      <c r="D18" s="4">
        <f>IF(OR(Dispute[[#This Row],[Resolution_Date]]="",E18 = 0), "", E18-C18)</f>
        <v>2</v>
      </c>
      <c r="E18" s="1">
        <v>45680</v>
      </c>
      <c r="F18" t="s">
        <v>25</v>
      </c>
      <c r="G18" t="s">
        <v>18</v>
      </c>
      <c r="H18" t="s">
        <v>19</v>
      </c>
      <c r="I18" s="2">
        <v>1062.06005859375</v>
      </c>
      <c r="J18" t="s">
        <v>14</v>
      </c>
      <c r="K18" t="str">
        <f>IF(Dispute[[#This Row],[Status]] = "In Progress", IF(Dispute[[#This Row],[Time_Line]]&gt;5, "Overdue", "Within SLA"), "Closed")</f>
        <v>Closed</v>
      </c>
    </row>
    <row r="19" spans="1:11" x14ac:dyDescent="0.25">
      <c r="A19" t="s">
        <v>38</v>
      </c>
      <c r="B19" s="1">
        <v>45703</v>
      </c>
      <c r="C19" s="1">
        <v>45706</v>
      </c>
      <c r="D19" s="4">
        <f>IF(OR(Dispute[[#This Row],[Resolution_Date]]="",E19 = 0), "", E19-C19)</f>
        <v>2</v>
      </c>
      <c r="E19" s="1">
        <v>45708</v>
      </c>
      <c r="F19" t="s">
        <v>25</v>
      </c>
      <c r="G19" t="s">
        <v>18</v>
      </c>
      <c r="H19" t="s">
        <v>12</v>
      </c>
      <c r="I19" s="2">
        <v>371.70999145507813</v>
      </c>
      <c r="J19" t="s">
        <v>9</v>
      </c>
      <c r="K19" t="str">
        <f>IF(Dispute[[#This Row],[Status]] = "In Progress", IF(Dispute[[#This Row],[Time_Line]]&gt;5, "Overdue", "Within SLA"), "Closed")</f>
        <v>Closed</v>
      </c>
    </row>
    <row r="20" spans="1:11" x14ac:dyDescent="0.25">
      <c r="A20" t="s">
        <v>39</v>
      </c>
      <c r="B20" s="1">
        <v>45672</v>
      </c>
      <c r="C20" s="1">
        <v>45677</v>
      </c>
      <c r="D20" s="4">
        <f>IF(OR(Dispute[[#This Row],[Resolution_Date]]="",E20 = 0), "", E20-C20)</f>
        <v>3</v>
      </c>
      <c r="E20" s="1">
        <v>45680</v>
      </c>
      <c r="F20" t="s">
        <v>15</v>
      </c>
      <c r="G20" t="s">
        <v>11</v>
      </c>
      <c r="H20" t="s">
        <v>12</v>
      </c>
      <c r="I20" s="2">
        <v>721.3499755859375</v>
      </c>
      <c r="J20" t="s">
        <v>9</v>
      </c>
      <c r="K20" t="str">
        <f>IF(Dispute[[#This Row],[Status]] = "In Progress", IF(Dispute[[#This Row],[Time_Line]]&gt;5, "Overdue", "Within SLA"), "Closed")</f>
        <v>Closed</v>
      </c>
    </row>
    <row r="21" spans="1:11" x14ac:dyDescent="0.25">
      <c r="A21" t="s">
        <v>40</v>
      </c>
      <c r="B21" s="1">
        <v>45703</v>
      </c>
      <c r="C21" s="1">
        <v>45713</v>
      </c>
      <c r="D21" s="4">
        <f>IF(OR(Dispute[[#This Row],[Resolution_Date]]="",E21 = 0), "", E21-C21)</f>
        <v>4</v>
      </c>
      <c r="E21" s="1">
        <v>45717</v>
      </c>
      <c r="F21" t="s">
        <v>15</v>
      </c>
      <c r="G21" t="s">
        <v>18</v>
      </c>
      <c r="H21" t="s">
        <v>12</v>
      </c>
      <c r="I21" s="2">
        <v>152.55000305175781</v>
      </c>
      <c r="J21" t="s">
        <v>9</v>
      </c>
      <c r="K21" t="str">
        <f>IF(Dispute[[#This Row],[Status]] = "In Progress", IF(Dispute[[#This Row],[Time_Line]]&gt;5, "Overdue", "Within SLA"), "Closed")</f>
        <v>Closed</v>
      </c>
    </row>
    <row r="22" spans="1:11" x14ac:dyDescent="0.25">
      <c r="A22" t="s">
        <v>41</v>
      </c>
      <c r="B22" s="1">
        <v>45713</v>
      </c>
      <c r="C22" s="1">
        <v>45720</v>
      </c>
      <c r="D22" s="4">
        <f>IF(OR(Dispute[[#This Row],[Resolution_Date]]="",E22 = 0), "", E22-C22)</f>
        <v>2</v>
      </c>
      <c r="E22" s="1">
        <v>45722</v>
      </c>
      <c r="F22" t="s">
        <v>25</v>
      </c>
      <c r="G22" t="s">
        <v>16</v>
      </c>
      <c r="H22" t="s">
        <v>23</v>
      </c>
      <c r="I22" s="2">
        <v>49.659999847412109</v>
      </c>
      <c r="J22" t="s">
        <v>9</v>
      </c>
      <c r="K22" t="str">
        <f>IF(Dispute[[#This Row],[Status]] = "In Progress", IF(Dispute[[#This Row],[Time_Line]]&gt;5, "Overdue", "Within SLA"), "Closed")</f>
        <v>Closed</v>
      </c>
    </row>
    <row r="23" spans="1:11" x14ac:dyDescent="0.25">
      <c r="A23" t="s">
        <v>42</v>
      </c>
      <c r="B23" s="1">
        <v>45678</v>
      </c>
      <c r="C23" s="1">
        <v>45684</v>
      </c>
      <c r="D23" s="4">
        <f>IF(OR(Dispute[[#This Row],[Resolution_Date]]="",E23 = 0), "", E23-C23)</f>
        <v>4</v>
      </c>
      <c r="E23" s="1">
        <v>45688</v>
      </c>
      <c r="F23" t="s">
        <v>10</v>
      </c>
      <c r="G23" t="s">
        <v>16</v>
      </c>
      <c r="H23" t="s">
        <v>30</v>
      </c>
      <c r="I23" s="2">
        <v>881.27001953125</v>
      </c>
      <c r="J23" t="s">
        <v>9</v>
      </c>
      <c r="K23" t="str">
        <f>IF(Dispute[[#This Row],[Status]] = "In Progress", IF(Dispute[[#This Row],[Time_Line]]&gt;5, "Overdue", "Within SLA"), "Closed")</f>
        <v>Closed</v>
      </c>
    </row>
    <row r="24" spans="1:11" x14ac:dyDescent="0.25">
      <c r="A24" t="s">
        <v>43</v>
      </c>
      <c r="B24" s="1">
        <v>45717</v>
      </c>
      <c r="C24" s="1">
        <v>45721</v>
      </c>
      <c r="D24" s="4">
        <f>IF(OR(Dispute[[#This Row],[Resolution_Date]]="",E24 = 0), "", E24-C24)</f>
        <v>3</v>
      </c>
      <c r="E24" s="1">
        <v>45724</v>
      </c>
      <c r="F24" t="s">
        <v>25</v>
      </c>
      <c r="G24" t="s">
        <v>18</v>
      </c>
      <c r="H24" t="s">
        <v>30</v>
      </c>
      <c r="I24" s="2">
        <v>992.5999755859375</v>
      </c>
      <c r="J24" t="s">
        <v>14</v>
      </c>
      <c r="K24" t="str">
        <f>IF(Dispute[[#This Row],[Status]] = "In Progress", IF(Dispute[[#This Row],[Time_Line]]&gt;5, "Overdue", "Within SLA"), "Closed")</f>
        <v>Closed</v>
      </c>
    </row>
    <row r="25" spans="1:11" x14ac:dyDescent="0.25">
      <c r="A25" t="s">
        <v>44</v>
      </c>
      <c r="B25" s="1">
        <v>45690</v>
      </c>
      <c r="C25" s="1">
        <v>45695</v>
      </c>
      <c r="D25" s="4">
        <f>IF(OR(Dispute[[#This Row],[Resolution_Date]]="",E25 = 0), "", E25-C25)</f>
        <v>2</v>
      </c>
      <c r="E25" s="1">
        <v>45697</v>
      </c>
      <c r="F25" t="s">
        <v>15</v>
      </c>
      <c r="G25" t="s">
        <v>22</v>
      </c>
      <c r="H25" t="s">
        <v>12</v>
      </c>
      <c r="I25" s="2">
        <v>459.6199951171875</v>
      </c>
      <c r="J25" t="s">
        <v>14</v>
      </c>
      <c r="K25" t="str">
        <f>IF(Dispute[[#This Row],[Status]] = "In Progress", IF(Dispute[[#This Row],[Time_Line]]&gt;5, "Overdue", "Within SLA"), "Closed")</f>
        <v>Closed</v>
      </c>
    </row>
    <row r="26" spans="1:11" x14ac:dyDescent="0.25">
      <c r="A26" t="s">
        <v>45</v>
      </c>
      <c r="B26" s="1">
        <v>45676</v>
      </c>
      <c r="C26" s="1">
        <v>45679</v>
      </c>
      <c r="D26" s="4" t="str">
        <f>IF(OR(Dispute[[#This Row],[Resolution_Date]]="",E26 = 0), "", E26-C26)</f>
        <v/>
      </c>
      <c r="F26" t="s">
        <v>15</v>
      </c>
      <c r="G26" t="s">
        <v>11</v>
      </c>
      <c r="H26" t="s">
        <v>30</v>
      </c>
      <c r="I26" s="2">
        <v>451.14999389648438</v>
      </c>
      <c r="J26" t="s">
        <v>46</v>
      </c>
      <c r="K26" t="str">
        <f>IF(Dispute[[#This Row],[Status]] = "In Progress", IF(Dispute[[#This Row],[Time_Line]]&gt;5, "Overdue", "Within SLA"), "Closed")</f>
        <v>Overdue</v>
      </c>
    </row>
    <row r="27" spans="1:11" x14ac:dyDescent="0.25">
      <c r="A27" t="s">
        <v>47</v>
      </c>
      <c r="B27" s="1">
        <v>45710</v>
      </c>
      <c r="C27" s="1">
        <v>45715</v>
      </c>
      <c r="D27" s="4" t="str">
        <f>IF(OR(Dispute[[#This Row],[Resolution_Date]]="",E27 = 0), "", E27-C27)</f>
        <v/>
      </c>
      <c r="F27" t="s">
        <v>10</v>
      </c>
      <c r="G27" t="s">
        <v>22</v>
      </c>
      <c r="H27" t="s">
        <v>30</v>
      </c>
      <c r="I27" s="2">
        <v>953.57000732421875</v>
      </c>
      <c r="J27" t="s">
        <v>46</v>
      </c>
      <c r="K27" t="str">
        <f>IF(Dispute[[#This Row],[Status]] = "In Progress", IF(Dispute[[#This Row],[Time_Line]]&gt;5, "Overdue", "Within SLA"), "Closed")</f>
        <v>Overdue</v>
      </c>
    </row>
    <row r="28" spans="1:11" x14ac:dyDescent="0.25">
      <c r="A28" t="s">
        <v>48</v>
      </c>
      <c r="B28" s="1">
        <v>45667</v>
      </c>
      <c r="C28" s="1">
        <v>45676</v>
      </c>
      <c r="D28" s="4">
        <f>IF(OR(Dispute[[#This Row],[Resolution_Date]]="",E28 = 0), "", E28-C28)</f>
        <v>7</v>
      </c>
      <c r="E28" s="1">
        <v>45683</v>
      </c>
      <c r="F28" t="s">
        <v>25</v>
      </c>
      <c r="G28" t="s">
        <v>16</v>
      </c>
      <c r="H28" t="s">
        <v>19</v>
      </c>
      <c r="I28" s="2">
        <v>571.29998779296875</v>
      </c>
      <c r="J28" t="s">
        <v>9</v>
      </c>
      <c r="K28" t="str">
        <f>IF(Dispute[[#This Row],[Status]] = "In Progress", IF(Dispute[[#This Row],[Time_Line]]&gt;5, "Overdue", "Within SLA"), "Closed")</f>
        <v>Closed</v>
      </c>
    </row>
    <row r="29" spans="1:11" x14ac:dyDescent="0.25">
      <c r="A29" t="s">
        <v>49</v>
      </c>
      <c r="B29" s="1">
        <v>45665</v>
      </c>
      <c r="C29" s="1">
        <v>45667</v>
      </c>
      <c r="D29" s="4" t="str">
        <f>IF(OR(Dispute[[#This Row],[Resolution_Date]]="",E29 = 0), "", E29-C29)</f>
        <v/>
      </c>
      <c r="F29" t="s">
        <v>25</v>
      </c>
      <c r="G29" t="s">
        <v>22</v>
      </c>
      <c r="H29" t="s">
        <v>30</v>
      </c>
      <c r="I29" s="2">
        <v>688.21002197265625</v>
      </c>
      <c r="J29" t="s">
        <v>46</v>
      </c>
      <c r="K29" t="str">
        <f>IF(Dispute[[#This Row],[Status]] = "In Progress", IF(Dispute[[#This Row],[Time_Line]]&gt;5, "Overdue", "Within SLA"), "Closed")</f>
        <v>Overdue</v>
      </c>
    </row>
    <row r="30" spans="1:11" x14ac:dyDescent="0.25">
      <c r="A30" t="s">
        <v>50</v>
      </c>
      <c r="B30" s="1">
        <v>45671</v>
      </c>
      <c r="C30" s="1">
        <v>45676</v>
      </c>
      <c r="D30" s="4">
        <f>IF(OR(Dispute[[#This Row],[Resolution_Date]]="",E30 = 0), "", E30-C30)</f>
        <v>6</v>
      </c>
      <c r="E30" s="1">
        <v>45682</v>
      </c>
      <c r="F30" t="s">
        <v>10</v>
      </c>
      <c r="G30" t="s">
        <v>22</v>
      </c>
      <c r="H30" t="s">
        <v>23</v>
      </c>
      <c r="I30" s="2">
        <v>776.489990234375</v>
      </c>
      <c r="J30" t="s">
        <v>9</v>
      </c>
      <c r="K30" t="str">
        <f>IF(Dispute[[#This Row],[Status]] = "In Progress", IF(Dispute[[#This Row],[Time_Line]]&gt;5, "Overdue", "Within SLA"), "Closed")</f>
        <v>Closed</v>
      </c>
    </row>
    <row r="31" spans="1:11" x14ac:dyDescent="0.25">
      <c r="A31" t="s">
        <v>51</v>
      </c>
      <c r="B31" s="1">
        <v>45700</v>
      </c>
      <c r="C31" s="1">
        <v>45701</v>
      </c>
      <c r="D31" s="4">
        <f>IF(OR(Dispute[[#This Row],[Resolution_Date]]="",E31 = 0), "", E31-C31)</f>
        <v>3</v>
      </c>
      <c r="E31" s="1">
        <v>45704</v>
      </c>
      <c r="F31" t="s">
        <v>10</v>
      </c>
      <c r="G31" t="s">
        <v>16</v>
      </c>
      <c r="H31" t="s">
        <v>30</v>
      </c>
      <c r="I31" s="2">
        <v>516.1199951171875</v>
      </c>
      <c r="J31" t="s">
        <v>9</v>
      </c>
      <c r="K31" t="str">
        <f>IF(Dispute[[#This Row],[Status]] = "In Progress", IF(Dispute[[#This Row],[Time_Line]]&gt;5, "Overdue", "Within SLA"), "Closed")</f>
        <v>Closed</v>
      </c>
    </row>
    <row r="32" spans="1:11" x14ac:dyDescent="0.25">
      <c r="A32" t="s">
        <v>52</v>
      </c>
      <c r="B32" s="1">
        <v>45702</v>
      </c>
      <c r="C32" s="1">
        <v>45705</v>
      </c>
      <c r="D32" s="4">
        <f>IF(OR(Dispute[[#This Row],[Resolution_Date]]="",E32 = 0), "", E32-C32)</f>
        <v>4</v>
      </c>
      <c r="E32" s="1">
        <v>45709</v>
      </c>
      <c r="F32" t="s">
        <v>25</v>
      </c>
      <c r="G32" t="s">
        <v>22</v>
      </c>
      <c r="H32" t="s">
        <v>19</v>
      </c>
      <c r="I32" s="2">
        <v>140.32000732421875</v>
      </c>
      <c r="J32" t="s">
        <v>14</v>
      </c>
      <c r="K32" t="str">
        <f>IF(Dispute[[#This Row],[Status]] = "In Progress", IF(Dispute[[#This Row],[Time_Line]]&gt;5, "Overdue", "Within SLA"), "Closed")</f>
        <v>Closed</v>
      </c>
    </row>
    <row r="33" spans="1:11" x14ac:dyDescent="0.25">
      <c r="A33" t="s">
        <v>53</v>
      </c>
      <c r="B33" s="1">
        <v>45669</v>
      </c>
      <c r="C33" s="1">
        <v>45670</v>
      </c>
      <c r="D33" s="4">
        <f>IF(OR(Dispute[[#This Row],[Resolution_Date]]="",E33 = 0), "", E33-C33)</f>
        <v>7</v>
      </c>
      <c r="E33" s="1">
        <v>45677</v>
      </c>
      <c r="F33" t="s">
        <v>15</v>
      </c>
      <c r="G33" t="s">
        <v>16</v>
      </c>
      <c r="H33" t="s">
        <v>23</v>
      </c>
      <c r="I33" s="2">
        <v>469.79000854492188</v>
      </c>
      <c r="J33" t="s">
        <v>14</v>
      </c>
      <c r="K33" t="str">
        <f>IF(Dispute[[#This Row],[Status]] = "In Progress", IF(Dispute[[#This Row],[Time_Line]]&gt;5, "Overdue", "Within SLA"), "Closed")</f>
        <v>Closed</v>
      </c>
    </row>
    <row r="34" spans="1:11" x14ac:dyDescent="0.25">
      <c r="A34" t="s">
        <v>54</v>
      </c>
      <c r="B34" s="1">
        <v>45681</v>
      </c>
      <c r="C34" s="1">
        <v>45684</v>
      </c>
      <c r="D34" s="4">
        <f>IF(OR(Dispute[[#This Row],[Resolution_Date]]="",E34 = 0), "", E34-C34)</f>
        <v>1</v>
      </c>
      <c r="E34" s="1">
        <v>45685</v>
      </c>
      <c r="F34" t="s">
        <v>10</v>
      </c>
      <c r="G34" t="s">
        <v>22</v>
      </c>
      <c r="H34" t="s">
        <v>12</v>
      </c>
      <c r="I34" s="2">
        <v>803.71002197265625</v>
      </c>
      <c r="J34" t="s">
        <v>14</v>
      </c>
      <c r="K34" t="str">
        <f>IF(Dispute[[#This Row],[Status]] = "In Progress", IF(Dispute[[#This Row],[Time_Line]]&gt;5, "Overdue", "Within SLA"), "Closed")</f>
        <v>Closed</v>
      </c>
    </row>
    <row r="35" spans="1:11" x14ac:dyDescent="0.25">
      <c r="A35" t="s">
        <v>55</v>
      </c>
      <c r="B35" s="1">
        <v>45684</v>
      </c>
      <c r="C35" s="1">
        <v>45691</v>
      </c>
      <c r="D35" s="4" t="str">
        <f>IF(OR(Dispute[[#This Row],[Resolution_Date]]="",E35 = 0), "", E35-C35)</f>
        <v/>
      </c>
      <c r="F35" t="s">
        <v>10</v>
      </c>
      <c r="G35" t="s">
        <v>22</v>
      </c>
      <c r="H35" t="s">
        <v>19</v>
      </c>
      <c r="I35" s="2">
        <v>201.52000427246094</v>
      </c>
      <c r="J35" t="s">
        <v>46</v>
      </c>
      <c r="K35" t="str">
        <f>IF(Dispute[[#This Row],[Status]] = "In Progress", IF(Dispute[[#This Row],[Time_Line]]&gt;5, "Overdue", "Within SLA"), "Closed")</f>
        <v>Overdue</v>
      </c>
    </row>
    <row r="36" spans="1:11" x14ac:dyDescent="0.25">
      <c r="A36" t="s">
        <v>56</v>
      </c>
      <c r="B36" s="1">
        <v>45671</v>
      </c>
      <c r="C36" s="1">
        <v>45675</v>
      </c>
      <c r="D36" s="4">
        <f>IF(OR(Dispute[[#This Row],[Resolution_Date]]="",E36 = 0), "", E36-C36)</f>
        <v>1</v>
      </c>
      <c r="E36" s="1">
        <v>45676</v>
      </c>
      <c r="F36" t="s">
        <v>10</v>
      </c>
      <c r="G36" t="s">
        <v>16</v>
      </c>
      <c r="H36" t="s">
        <v>19</v>
      </c>
      <c r="I36" s="2">
        <v>1182.27001953125</v>
      </c>
      <c r="J36" t="s">
        <v>14</v>
      </c>
      <c r="K36" t="str">
        <f>IF(Dispute[[#This Row],[Status]] = "In Progress", IF(Dispute[[#This Row],[Time_Line]]&gt;5, "Overdue", "Within SLA"), "Closed")</f>
        <v>Closed</v>
      </c>
    </row>
    <row r="37" spans="1:11" x14ac:dyDescent="0.25">
      <c r="A37" t="s">
        <v>57</v>
      </c>
      <c r="B37" s="1">
        <v>45706</v>
      </c>
      <c r="C37" s="1">
        <v>45713</v>
      </c>
      <c r="D37" s="4">
        <f>IF(OR(Dispute[[#This Row],[Resolution_Date]]="",E37 = 0), "", E37-C37)</f>
        <v>7</v>
      </c>
      <c r="E37" s="1">
        <v>45720</v>
      </c>
      <c r="F37" t="s">
        <v>25</v>
      </c>
      <c r="G37" t="s">
        <v>16</v>
      </c>
      <c r="H37" t="s">
        <v>12</v>
      </c>
      <c r="I37" s="2">
        <v>850.53997802734375</v>
      </c>
      <c r="J37" t="s">
        <v>9</v>
      </c>
      <c r="K37" t="str">
        <f>IF(Dispute[[#This Row],[Status]] = "In Progress", IF(Dispute[[#This Row],[Time_Line]]&gt;5, "Overdue", "Within SLA"), "Closed")</f>
        <v>Closed</v>
      </c>
    </row>
    <row r="38" spans="1:11" x14ac:dyDescent="0.25">
      <c r="A38" t="s">
        <v>58</v>
      </c>
      <c r="B38" s="1">
        <v>45682</v>
      </c>
      <c r="C38" s="1">
        <v>45683</v>
      </c>
      <c r="D38" s="4" t="str">
        <f>IF(OR(Dispute[[#This Row],[Resolution_Date]]="",E38 = 0), "", E38-C38)</f>
        <v/>
      </c>
      <c r="F38" t="s">
        <v>25</v>
      </c>
      <c r="G38" t="s">
        <v>22</v>
      </c>
      <c r="H38" t="s">
        <v>19</v>
      </c>
      <c r="I38" s="2">
        <v>142.36000061035156</v>
      </c>
      <c r="J38" t="s">
        <v>46</v>
      </c>
      <c r="K38" t="str">
        <f>IF(Dispute[[#This Row],[Status]] = "In Progress", IF(Dispute[[#This Row],[Time_Line]]&gt;5, "Overdue", "Within SLA"), "Closed")</f>
        <v>Overdue</v>
      </c>
    </row>
    <row r="39" spans="1:11" x14ac:dyDescent="0.25">
      <c r="A39" t="s">
        <v>59</v>
      </c>
      <c r="B39" s="1">
        <v>45674</v>
      </c>
      <c r="C39" s="1">
        <v>45681</v>
      </c>
      <c r="D39" s="4">
        <f>IF(OR(Dispute[[#This Row],[Resolution_Date]]="",E39 = 0), "", E39-C39)</f>
        <v>4</v>
      </c>
      <c r="E39" s="1">
        <v>45685</v>
      </c>
      <c r="F39" t="s">
        <v>10</v>
      </c>
      <c r="G39" t="s">
        <v>18</v>
      </c>
      <c r="H39" t="s">
        <v>19</v>
      </c>
      <c r="I39" s="2">
        <v>940</v>
      </c>
      <c r="J39" t="s">
        <v>9</v>
      </c>
      <c r="K39" t="str">
        <f>IF(Dispute[[#This Row],[Status]] = "In Progress", IF(Dispute[[#This Row],[Time_Line]]&gt;5, "Overdue", "Within SLA"), "Closed")</f>
        <v>Closed</v>
      </c>
    </row>
    <row r="40" spans="1:11" x14ac:dyDescent="0.25">
      <c r="A40" t="s">
        <v>60</v>
      </c>
      <c r="B40" s="1">
        <v>45671</v>
      </c>
      <c r="C40" s="1">
        <v>45676</v>
      </c>
      <c r="D40" s="4">
        <f>IF(OR(Dispute[[#This Row],[Resolution_Date]]="",E40 = 0), "", E40-C40)</f>
        <v>7</v>
      </c>
      <c r="E40" s="1">
        <v>45683</v>
      </c>
      <c r="F40" t="s">
        <v>15</v>
      </c>
      <c r="G40" t="s">
        <v>18</v>
      </c>
      <c r="H40" t="s">
        <v>12</v>
      </c>
      <c r="I40" s="2">
        <v>718.1300048828125</v>
      </c>
      <c r="J40" t="s">
        <v>14</v>
      </c>
      <c r="K40" t="str">
        <f>IF(Dispute[[#This Row],[Status]] = "In Progress", IF(Dispute[[#This Row],[Time_Line]]&gt;5, "Overdue", "Within SLA"), "Closed")</f>
        <v>Closed</v>
      </c>
    </row>
    <row r="41" spans="1:11" x14ac:dyDescent="0.25">
      <c r="A41" t="s">
        <v>61</v>
      </c>
      <c r="B41" s="1">
        <v>45713</v>
      </c>
      <c r="C41" s="1">
        <v>45719</v>
      </c>
      <c r="D41" s="4">
        <f>IF(OR(Dispute[[#This Row],[Resolution_Date]]="",E41 = 0), "", E41-C41)</f>
        <v>7</v>
      </c>
      <c r="E41" s="1">
        <v>45726</v>
      </c>
      <c r="F41" t="s">
        <v>25</v>
      </c>
      <c r="G41" t="s">
        <v>11</v>
      </c>
      <c r="H41" t="s">
        <v>19</v>
      </c>
      <c r="I41" s="2">
        <v>18.010000228881836</v>
      </c>
      <c r="J41" t="s">
        <v>9</v>
      </c>
      <c r="K41" t="str">
        <f>IF(Dispute[[#This Row],[Status]] = "In Progress", IF(Dispute[[#This Row],[Time_Line]]&gt;5, "Overdue", "Within SLA"), "Closed")</f>
        <v>Closed</v>
      </c>
    </row>
    <row r="42" spans="1:11" x14ac:dyDescent="0.25">
      <c r="A42" t="s">
        <v>62</v>
      </c>
      <c r="B42" s="1">
        <v>45702</v>
      </c>
      <c r="C42" s="1">
        <v>45711</v>
      </c>
      <c r="D42" s="4">
        <f>IF(OR(Dispute[[#This Row],[Resolution_Date]]="",E42 = 0), "", E42-C42)</f>
        <v>5</v>
      </c>
      <c r="E42" s="1">
        <v>45716</v>
      </c>
      <c r="F42" t="s">
        <v>10</v>
      </c>
      <c r="G42" t="s">
        <v>22</v>
      </c>
      <c r="H42" t="s">
        <v>19</v>
      </c>
      <c r="I42" s="2">
        <v>108.58000183105469</v>
      </c>
      <c r="J42" t="s">
        <v>9</v>
      </c>
      <c r="K42" t="str">
        <f>IF(Dispute[[#This Row],[Status]] = "In Progress", IF(Dispute[[#This Row],[Time_Line]]&gt;5, "Overdue", "Within SLA"), "Closed")</f>
        <v>Closed</v>
      </c>
    </row>
    <row r="43" spans="1:11" x14ac:dyDescent="0.25">
      <c r="A43" t="s">
        <v>63</v>
      </c>
      <c r="B43" s="1">
        <v>45682</v>
      </c>
      <c r="C43" s="1">
        <v>45686</v>
      </c>
      <c r="D43" s="4">
        <f>IF(OR(Dispute[[#This Row],[Resolution_Date]]="",E43 = 0), "", E43-C43)</f>
        <v>3</v>
      </c>
      <c r="E43" s="1">
        <v>45689</v>
      </c>
      <c r="F43" t="s">
        <v>25</v>
      </c>
      <c r="G43" t="s">
        <v>22</v>
      </c>
      <c r="H43" t="s">
        <v>12</v>
      </c>
      <c r="I43" s="2">
        <v>306.77999877929688</v>
      </c>
      <c r="J43" t="s">
        <v>14</v>
      </c>
      <c r="K43" t="str">
        <f>IF(Dispute[[#This Row],[Status]] = "In Progress", IF(Dispute[[#This Row],[Time_Line]]&gt;5, "Overdue", "Within SLA"), "Closed")</f>
        <v>Closed</v>
      </c>
    </row>
    <row r="44" spans="1:11" x14ac:dyDescent="0.25">
      <c r="A44" t="s">
        <v>64</v>
      </c>
      <c r="B44" s="1">
        <v>45714</v>
      </c>
      <c r="C44" s="1">
        <v>45716</v>
      </c>
      <c r="D44" s="4">
        <f>IF(OR(Dispute[[#This Row],[Resolution_Date]]="",E44 = 0), "", E44-C44)</f>
        <v>5</v>
      </c>
      <c r="E44" s="1">
        <v>45721</v>
      </c>
      <c r="F44" t="s">
        <v>10</v>
      </c>
      <c r="G44" t="s">
        <v>22</v>
      </c>
      <c r="H44" t="s">
        <v>23</v>
      </c>
      <c r="I44" s="2">
        <v>1047.18994140625</v>
      </c>
      <c r="J44" t="s">
        <v>14</v>
      </c>
      <c r="K44" t="str">
        <f>IF(Dispute[[#This Row],[Status]] = "In Progress", IF(Dispute[[#This Row],[Time_Line]]&gt;5, "Overdue", "Within SLA"), "Closed")</f>
        <v>Closed</v>
      </c>
    </row>
    <row r="45" spans="1:11" x14ac:dyDescent="0.25">
      <c r="A45" t="s">
        <v>65</v>
      </c>
      <c r="B45" s="1">
        <v>45662</v>
      </c>
      <c r="C45" s="1">
        <v>45667</v>
      </c>
      <c r="D45" s="4">
        <f>IF(OR(Dispute[[#This Row],[Resolution_Date]]="",E45 = 0), "", E45-C45)</f>
        <v>2</v>
      </c>
      <c r="E45" s="1">
        <v>45669</v>
      </c>
      <c r="F45" t="s">
        <v>15</v>
      </c>
      <c r="G45" t="s">
        <v>22</v>
      </c>
      <c r="H45" t="s">
        <v>19</v>
      </c>
      <c r="I45" s="2">
        <v>712.40997314453125</v>
      </c>
      <c r="J45" t="s">
        <v>9</v>
      </c>
      <c r="K45" t="str">
        <f>IF(Dispute[[#This Row],[Status]] = "In Progress", IF(Dispute[[#This Row],[Time_Line]]&gt;5, "Overdue", "Within SLA"), "Closed")</f>
        <v>Closed</v>
      </c>
    </row>
    <row r="46" spans="1:11" x14ac:dyDescent="0.25">
      <c r="A46" t="s">
        <v>66</v>
      </c>
      <c r="B46" s="1">
        <v>45670</v>
      </c>
      <c r="C46" s="1">
        <v>45671</v>
      </c>
      <c r="D46" s="4">
        <f>IF(OR(Dispute[[#This Row],[Resolution_Date]]="",E46 = 0), "", E46-C46)</f>
        <v>1</v>
      </c>
      <c r="E46" s="1">
        <v>45672</v>
      </c>
      <c r="F46" t="s">
        <v>10</v>
      </c>
      <c r="G46" t="s">
        <v>11</v>
      </c>
      <c r="H46" t="s">
        <v>12</v>
      </c>
      <c r="I46" s="2">
        <v>1030.4200439453125</v>
      </c>
      <c r="J46" t="s">
        <v>14</v>
      </c>
      <c r="K46" t="str">
        <f>IF(Dispute[[#This Row],[Status]] = "In Progress", IF(Dispute[[#This Row],[Time_Line]]&gt;5, "Overdue", "Within SLA"), "Closed")</f>
        <v>Closed</v>
      </c>
    </row>
    <row r="47" spans="1:11" x14ac:dyDescent="0.25">
      <c r="A47" t="s">
        <v>67</v>
      </c>
      <c r="B47" s="1">
        <v>45684</v>
      </c>
      <c r="C47" s="1">
        <v>45689</v>
      </c>
      <c r="D47" s="4">
        <f>IF(OR(Dispute[[#This Row],[Resolution_Date]]="",E47 = 0), "", E47-C47)</f>
        <v>6</v>
      </c>
      <c r="E47" s="1">
        <v>45695</v>
      </c>
      <c r="F47" t="s">
        <v>25</v>
      </c>
      <c r="G47" t="s">
        <v>18</v>
      </c>
      <c r="H47" t="s">
        <v>19</v>
      </c>
      <c r="I47" s="2">
        <v>198.21000671386719</v>
      </c>
      <c r="J47" t="s">
        <v>9</v>
      </c>
      <c r="K47" t="str">
        <f>IF(Dispute[[#This Row],[Status]] = "In Progress", IF(Dispute[[#This Row],[Time_Line]]&gt;5, "Overdue", "Within SLA"), "Closed")</f>
        <v>Closed</v>
      </c>
    </row>
    <row r="48" spans="1:11" x14ac:dyDescent="0.25">
      <c r="A48" t="s">
        <v>68</v>
      </c>
      <c r="B48" s="1">
        <v>45695</v>
      </c>
      <c r="C48" s="1">
        <v>45696</v>
      </c>
      <c r="D48" s="4">
        <f>IF(OR(Dispute[[#This Row],[Resolution_Date]]="",E48 = 0), "", E48-C48)</f>
        <v>5</v>
      </c>
      <c r="E48" s="1">
        <v>45701</v>
      </c>
      <c r="F48" t="s">
        <v>25</v>
      </c>
      <c r="G48" t="s">
        <v>16</v>
      </c>
      <c r="H48" t="s">
        <v>19</v>
      </c>
      <c r="I48" s="2">
        <v>19.819999694824219</v>
      </c>
      <c r="J48" t="s">
        <v>14</v>
      </c>
      <c r="K48" t="str">
        <f>IF(Dispute[[#This Row],[Status]] = "In Progress", IF(Dispute[[#This Row],[Time_Line]]&gt;5, "Overdue", "Within SLA"), "Closed")</f>
        <v>Closed</v>
      </c>
    </row>
    <row r="49" spans="1:11" x14ac:dyDescent="0.25">
      <c r="A49" t="s">
        <v>69</v>
      </c>
      <c r="B49" s="1">
        <v>45683</v>
      </c>
      <c r="C49" s="1">
        <v>45686</v>
      </c>
      <c r="D49" s="4">
        <f>IF(OR(Dispute[[#This Row],[Resolution_Date]]="",E49 = 0), "", E49-C49)</f>
        <v>7</v>
      </c>
      <c r="E49" s="1">
        <v>45693</v>
      </c>
      <c r="F49" t="s">
        <v>25</v>
      </c>
      <c r="G49" t="s">
        <v>11</v>
      </c>
      <c r="H49" t="s">
        <v>23</v>
      </c>
      <c r="I49" s="2">
        <v>196.99000549316406</v>
      </c>
      <c r="J49" t="s">
        <v>14</v>
      </c>
      <c r="K49" t="str">
        <f>IF(Dispute[[#This Row],[Status]] = "In Progress", IF(Dispute[[#This Row],[Time_Line]]&gt;5, "Overdue", "Within SLA"), "Closed")</f>
        <v>Closed</v>
      </c>
    </row>
    <row r="50" spans="1:11" x14ac:dyDescent="0.25">
      <c r="A50" t="s">
        <v>70</v>
      </c>
      <c r="B50" s="1">
        <v>45680</v>
      </c>
      <c r="C50" s="1">
        <v>45682</v>
      </c>
      <c r="D50" s="4">
        <f>IF(OR(Dispute[[#This Row],[Resolution_Date]]="",E50 = 0), "", E50-C50)</f>
        <v>7</v>
      </c>
      <c r="E50" s="1">
        <v>45689</v>
      </c>
      <c r="F50" t="s">
        <v>10</v>
      </c>
      <c r="G50" t="s">
        <v>11</v>
      </c>
      <c r="H50" t="s">
        <v>19</v>
      </c>
      <c r="I50" s="2">
        <v>48.900001525878906</v>
      </c>
      <c r="J50" t="s">
        <v>14</v>
      </c>
      <c r="K50" t="str">
        <f>IF(Dispute[[#This Row],[Status]] = "In Progress", IF(Dispute[[#This Row],[Time_Line]]&gt;5, "Overdue", "Within SLA"), "Closed")</f>
        <v>Closed</v>
      </c>
    </row>
    <row r="51" spans="1:11" x14ac:dyDescent="0.25">
      <c r="A51" t="s">
        <v>71</v>
      </c>
      <c r="B51" s="1">
        <v>45707</v>
      </c>
      <c r="C51" s="1">
        <v>45715</v>
      </c>
      <c r="D51" s="4">
        <f>IF(OR(Dispute[[#This Row],[Resolution_Date]]="",E51 = 0), "", E51-C51)</f>
        <v>3</v>
      </c>
      <c r="E51" s="1">
        <v>45718</v>
      </c>
      <c r="F51" t="s">
        <v>15</v>
      </c>
      <c r="G51" t="s">
        <v>16</v>
      </c>
      <c r="H51" t="s">
        <v>30</v>
      </c>
      <c r="I51" s="2">
        <v>259.29998779296875</v>
      </c>
      <c r="J51" t="s">
        <v>9</v>
      </c>
      <c r="K51" t="str">
        <f>IF(Dispute[[#This Row],[Status]] = "In Progress", IF(Dispute[[#This Row],[Time_Line]]&gt;5, "Overdue", "Within SLA"), "Closed")</f>
        <v>Closed</v>
      </c>
    </row>
    <row r="52" spans="1:11" x14ac:dyDescent="0.25">
      <c r="A52" t="s">
        <v>72</v>
      </c>
      <c r="B52" s="1">
        <v>45670</v>
      </c>
      <c r="C52" s="1">
        <v>45674</v>
      </c>
      <c r="D52" s="4">
        <f>IF(OR(Dispute[[#This Row],[Resolution_Date]]="",E52 = 0), "", E52-C52)</f>
        <v>3</v>
      </c>
      <c r="E52" s="1">
        <v>45677</v>
      </c>
      <c r="F52" t="s">
        <v>15</v>
      </c>
      <c r="G52" t="s">
        <v>22</v>
      </c>
      <c r="H52" t="s">
        <v>23</v>
      </c>
      <c r="I52" s="2">
        <v>672.1199951171875</v>
      </c>
      <c r="J52" t="s">
        <v>14</v>
      </c>
      <c r="K52" t="str">
        <f>IF(Dispute[[#This Row],[Status]] = "In Progress", IF(Dispute[[#This Row],[Time_Line]]&gt;5, "Overdue", "Within SLA"), "Closed")</f>
        <v>Closed</v>
      </c>
    </row>
    <row r="53" spans="1:11" x14ac:dyDescent="0.25">
      <c r="A53" t="s">
        <v>73</v>
      </c>
      <c r="B53" s="1">
        <v>45670</v>
      </c>
      <c r="C53" s="1">
        <v>45680</v>
      </c>
      <c r="D53" s="4">
        <f>IF(OR(Dispute[[#This Row],[Resolution_Date]]="",E53 = 0), "", E53-C53)</f>
        <v>7</v>
      </c>
      <c r="E53" s="1">
        <v>45687</v>
      </c>
      <c r="F53" t="s">
        <v>15</v>
      </c>
      <c r="G53" t="s">
        <v>16</v>
      </c>
      <c r="H53" t="s">
        <v>12</v>
      </c>
      <c r="I53" s="2">
        <v>325.1300048828125</v>
      </c>
      <c r="J53" t="s">
        <v>14</v>
      </c>
      <c r="K53" t="str">
        <f>IF(Dispute[[#This Row],[Status]] = "In Progress", IF(Dispute[[#This Row],[Time_Line]]&gt;5, "Overdue", "Within SLA"), "Closed")</f>
        <v>Closed</v>
      </c>
    </row>
    <row r="54" spans="1:11" x14ac:dyDescent="0.25">
      <c r="A54" t="s">
        <v>74</v>
      </c>
      <c r="B54" s="1">
        <v>45668</v>
      </c>
      <c r="C54" s="1">
        <v>45675</v>
      </c>
      <c r="D54" s="4" t="str">
        <f>IF(OR(Dispute[[#This Row],[Resolution_Date]]="",E54 = 0), "", E54-C54)</f>
        <v/>
      </c>
      <c r="F54" t="s">
        <v>15</v>
      </c>
      <c r="G54" t="s">
        <v>22</v>
      </c>
      <c r="H54" t="s">
        <v>23</v>
      </c>
      <c r="I54" s="2">
        <v>146.69000244140625</v>
      </c>
      <c r="J54" t="s">
        <v>46</v>
      </c>
      <c r="K54" t="str">
        <f>IF(Dispute[[#This Row],[Status]] = "In Progress", IF(Dispute[[#This Row],[Time_Line]]&gt;5, "Overdue", "Within SLA"), "Closed")</f>
        <v>Overdue</v>
      </c>
    </row>
    <row r="55" spans="1:11" x14ac:dyDescent="0.25">
      <c r="A55" t="s">
        <v>75</v>
      </c>
      <c r="B55" s="1">
        <v>45675</v>
      </c>
      <c r="C55" s="1">
        <v>45679</v>
      </c>
      <c r="D55" s="4">
        <f>IF(OR(Dispute[[#This Row],[Resolution_Date]]="",E55 = 0), "", E55-C55)</f>
        <v>3</v>
      </c>
      <c r="E55" s="1">
        <v>45682</v>
      </c>
      <c r="F55" t="s">
        <v>10</v>
      </c>
      <c r="G55" t="s">
        <v>18</v>
      </c>
      <c r="H55" t="s">
        <v>19</v>
      </c>
      <c r="I55" s="2">
        <v>496.239990234375</v>
      </c>
      <c r="J55" t="s">
        <v>9</v>
      </c>
      <c r="K55" t="str">
        <f>IF(Dispute[[#This Row],[Status]] = "In Progress", IF(Dispute[[#This Row],[Time_Line]]&gt;5, "Overdue", "Within SLA"), "Closed")</f>
        <v>Closed</v>
      </c>
    </row>
    <row r="56" spans="1:11" x14ac:dyDescent="0.25">
      <c r="A56" t="s">
        <v>76</v>
      </c>
      <c r="B56" s="1">
        <v>45708</v>
      </c>
      <c r="C56" s="1">
        <v>45713</v>
      </c>
      <c r="D56" s="4">
        <f>IF(OR(Dispute[[#This Row],[Resolution_Date]]="",E56 = 0), "", E56-C56)</f>
        <v>5</v>
      </c>
      <c r="E56" s="1">
        <v>45718</v>
      </c>
      <c r="F56" t="s">
        <v>10</v>
      </c>
      <c r="G56" t="s">
        <v>22</v>
      </c>
      <c r="H56" t="s">
        <v>30</v>
      </c>
      <c r="I56" s="2">
        <v>282.989990234375</v>
      </c>
      <c r="J56" t="s">
        <v>9</v>
      </c>
      <c r="K56" t="str">
        <f>IF(Dispute[[#This Row],[Status]] = "In Progress", IF(Dispute[[#This Row],[Time_Line]]&gt;5, "Overdue", "Within SLA"), "Closed")</f>
        <v>Closed</v>
      </c>
    </row>
    <row r="57" spans="1:11" x14ac:dyDescent="0.25">
      <c r="A57" t="s">
        <v>77</v>
      </c>
      <c r="B57" s="1">
        <v>45692</v>
      </c>
      <c r="C57" s="1">
        <v>45700</v>
      </c>
      <c r="D57" s="4">
        <f>IF(OR(Dispute[[#This Row],[Resolution_Date]]="",E57 = 0), "", E57-C57)</f>
        <v>7</v>
      </c>
      <c r="E57" s="1">
        <v>45707</v>
      </c>
      <c r="F57" t="s">
        <v>10</v>
      </c>
      <c r="G57" t="s">
        <v>16</v>
      </c>
      <c r="H57" t="s">
        <v>19</v>
      </c>
      <c r="I57" s="2">
        <v>456.67001342773438</v>
      </c>
      <c r="J57" t="s">
        <v>9</v>
      </c>
      <c r="K57" t="str">
        <f>IF(Dispute[[#This Row],[Status]] = "In Progress", IF(Dispute[[#This Row],[Time_Line]]&gt;5, "Overdue", "Within SLA"), "Closed")</f>
        <v>Closed</v>
      </c>
    </row>
    <row r="58" spans="1:11" x14ac:dyDescent="0.25">
      <c r="A58" t="s">
        <v>78</v>
      </c>
      <c r="B58" s="1">
        <v>45658</v>
      </c>
      <c r="C58" s="1">
        <v>45661</v>
      </c>
      <c r="D58" s="4">
        <f>IF(OR(Dispute[[#This Row],[Resolution_Date]]="",E58 = 0), "", E58-C58)</f>
        <v>6</v>
      </c>
      <c r="E58" s="1">
        <v>45667</v>
      </c>
      <c r="F58" t="s">
        <v>15</v>
      </c>
      <c r="G58" t="s">
        <v>18</v>
      </c>
      <c r="H58" t="s">
        <v>30</v>
      </c>
      <c r="I58" s="2">
        <v>967.32000732421875</v>
      </c>
      <c r="J58" t="s">
        <v>14</v>
      </c>
      <c r="K58" t="str">
        <f>IF(Dispute[[#This Row],[Status]] = "In Progress", IF(Dispute[[#This Row],[Time_Line]]&gt;5, "Overdue", "Within SLA"), "Closed")</f>
        <v>Closed</v>
      </c>
    </row>
    <row r="59" spans="1:11" x14ac:dyDescent="0.25">
      <c r="A59" t="s">
        <v>79</v>
      </c>
      <c r="B59" s="1">
        <v>45709</v>
      </c>
      <c r="C59" s="1">
        <v>45710</v>
      </c>
      <c r="D59" s="4">
        <f>IF(OR(Dispute[[#This Row],[Resolution_Date]]="",E59 = 0), "", E59-C59)</f>
        <v>3</v>
      </c>
      <c r="E59" s="1">
        <v>45713</v>
      </c>
      <c r="F59" t="s">
        <v>15</v>
      </c>
      <c r="G59" t="s">
        <v>22</v>
      </c>
      <c r="H59" t="s">
        <v>19</v>
      </c>
      <c r="I59" s="2">
        <v>503.32000732421875</v>
      </c>
      <c r="J59" t="s">
        <v>9</v>
      </c>
      <c r="K59" t="str">
        <f>IF(Dispute[[#This Row],[Status]] = "In Progress", IF(Dispute[[#This Row],[Time_Line]]&gt;5, "Overdue", "Within SLA"), "Closed")</f>
        <v>Closed</v>
      </c>
    </row>
    <row r="60" spans="1:11" x14ac:dyDescent="0.25">
      <c r="A60" t="s">
        <v>80</v>
      </c>
      <c r="B60" s="1">
        <v>45714</v>
      </c>
      <c r="C60" s="1">
        <v>45724</v>
      </c>
      <c r="D60" s="4">
        <f>IF(OR(Dispute[[#This Row],[Resolution_Date]]="",E60 = 0), "", E60-C60)</f>
        <v>4</v>
      </c>
      <c r="E60" s="1">
        <v>45728</v>
      </c>
      <c r="F60" t="s">
        <v>25</v>
      </c>
      <c r="G60" t="s">
        <v>11</v>
      </c>
      <c r="H60" t="s">
        <v>19</v>
      </c>
      <c r="I60" s="2">
        <v>37.569999694824219</v>
      </c>
      <c r="J60" t="s">
        <v>14</v>
      </c>
      <c r="K60" t="str">
        <f>IF(Dispute[[#This Row],[Status]] = "In Progress", IF(Dispute[[#This Row],[Time_Line]]&gt;5, "Overdue", "Within SLA"), "Closed")</f>
        <v>Closed</v>
      </c>
    </row>
    <row r="61" spans="1:11" x14ac:dyDescent="0.25">
      <c r="A61" t="s">
        <v>81</v>
      </c>
      <c r="B61" s="1">
        <v>45667</v>
      </c>
      <c r="C61" s="1">
        <v>45672</v>
      </c>
      <c r="D61" s="4">
        <f>IF(OR(Dispute[[#This Row],[Resolution_Date]]="",E61 = 0), "", E61-C61)</f>
        <v>4</v>
      </c>
      <c r="E61" s="1">
        <v>45676</v>
      </c>
      <c r="F61" t="s">
        <v>25</v>
      </c>
      <c r="G61" t="s">
        <v>18</v>
      </c>
      <c r="H61" t="s">
        <v>23</v>
      </c>
      <c r="I61" s="2">
        <v>389.20001220703125</v>
      </c>
      <c r="J61" t="s">
        <v>14</v>
      </c>
      <c r="K61" t="str">
        <f>IF(Dispute[[#This Row],[Status]] = "In Progress", IF(Dispute[[#This Row],[Time_Line]]&gt;5, "Overdue", "Within SLA"), "Closed")</f>
        <v>Closed</v>
      </c>
    </row>
    <row r="62" spans="1:11" x14ac:dyDescent="0.25">
      <c r="A62" t="s">
        <v>82</v>
      </c>
      <c r="B62" s="1">
        <v>45694</v>
      </c>
      <c r="C62" s="1">
        <v>45700</v>
      </c>
      <c r="D62" s="4">
        <f>IF(OR(Dispute[[#This Row],[Resolution_Date]]="",E62 = 0), "", E62-C62)</f>
        <v>3</v>
      </c>
      <c r="E62" s="1">
        <v>45703</v>
      </c>
      <c r="F62" t="s">
        <v>10</v>
      </c>
      <c r="G62" t="s">
        <v>22</v>
      </c>
      <c r="H62" t="s">
        <v>19</v>
      </c>
      <c r="I62" s="2">
        <v>894.030029296875</v>
      </c>
      <c r="J62" t="s">
        <v>14</v>
      </c>
      <c r="K62" t="str">
        <f>IF(Dispute[[#This Row],[Status]] = "In Progress", IF(Dispute[[#This Row],[Time_Line]]&gt;5, "Overdue", "Within SLA"), "Closed")</f>
        <v>Closed</v>
      </c>
    </row>
    <row r="63" spans="1:11" x14ac:dyDescent="0.25">
      <c r="A63" t="s">
        <v>83</v>
      </c>
      <c r="B63" s="1">
        <v>45667</v>
      </c>
      <c r="C63" s="1">
        <v>45668</v>
      </c>
      <c r="D63" s="4">
        <f>IF(OR(Dispute[[#This Row],[Resolution_Date]]="",E63 = 0), "", E63-C63)</f>
        <v>6</v>
      </c>
      <c r="E63" s="1">
        <v>45674</v>
      </c>
      <c r="F63" t="s">
        <v>15</v>
      </c>
      <c r="G63" t="s">
        <v>22</v>
      </c>
      <c r="H63" t="s">
        <v>12</v>
      </c>
      <c r="I63" s="2">
        <v>57.529998779296875</v>
      </c>
      <c r="J63" t="s">
        <v>14</v>
      </c>
      <c r="K63" t="str">
        <f>IF(Dispute[[#This Row],[Status]] = "In Progress", IF(Dispute[[#This Row],[Time_Line]]&gt;5, "Overdue", "Within SLA"), "Closed")</f>
        <v>Closed</v>
      </c>
    </row>
    <row r="64" spans="1:11" x14ac:dyDescent="0.25">
      <c r="A64" t="s">
        <v>84</v>
      </c>
      <c r="B64" s="1">
        <v>45705</v>
      </c>
      <c r="C64" s="1">
        <v>45710</v>
      </c>
      <c r="D64" s="4">
        <f>IF(OR(Dispute[[#This Row],[Resolution_Date]]="",E64 = 0), "", E64-C64)</f>
        <v>5</v>
      </c>
      <c r="E64" s="1">
        <v>45715</v>
      </c>
      <c r="F64" t="s">
        <v>10</v>
      </c>
      <c r="G64" t="s">
        <v>22</v>
      </c>
      <c r="H64" t="s">
        <v>23</v>
      </c>
      <c r="I64" s="2">
        <v>809.30999755859375</v>
      </c>
      <c r="J64" t="s">
        <v>14</v>
      </c>
      <c r="K64" t="str">
        <f>IF(Dispute[[#This Row],[Status]] = "In Progress", IF(Dispute[[#This Row],[Time_Line]]&gt;5, "Overdue", "Within SLA"), "Closed")</f>
        <v>Closed</v>
      </c>
    </row>
    <row r="65" spans="1:11" x14ac:dyDescent="0.25">
      <c r="A65" t="s">
        <v>85</v>
      </c>
      <c r="B65" s="1">
        <v>45715</v>
      </c>
      <c r="C65" s="1">
        <v>45716</v>
      </c>
      <c r="D65" s="4">
        <f>IF(OR(Dispute[[#This Row],[Resolution_Date]]="",E65 = 0), "", E65-C65)</f>
        <v>1</v>
      </c>
      <c r="E65" s="1">
        <v>45717</v>
      </c>
      <c r="F65" t="s">
        <v>15</v>
      </c>
      <c r="G65" t="s">
        <v>16</v>
      </c>
      <c r="H65" t="s">
        <v>23</v>
      </c>
      <c r="I65" s="2">
        <v>80.580001831054688</v>
      </c>
      <c r="J65" t="s">
        <v>9</v>
      </c>
      <c r="K65" t="str">
        <f>IF(Dispute[[#This Row],[Status]] = "In Progress", IF(Dispute[[#This Row],[Time_Line]]&gt;5, "Overdue", "Within SLA"), "Closed")</f>
        <v>Closed</v>
      </c>
    </row>
    <row r="66" spans="1:11" x14ac:dyDescent="0.25">
      <c r="A66" t="s">
        <v>86</v>
      </c>
      <c r="B66" s="1">
        <v>45691</v>
      </c>
      <c r="C66" s="1">
        <v>45695</v>
      </c>
      <c r="D66" s="4">
        <f>IF(OR(Dispute[[#This Row],[Resolution_Date]]="",E66 = 0), "", E66-C66)</f>
        <v>4</v>
      </c>
      <c r="E66" s="1">
        <v>45699</v>
      </c>
      <c r="F66" t="s">
        <v>15</v>
      </c>
      <c r="G66" t="s">
        <v>18</v>
      </c>
      <c r="H66" t="s">
        <v>23</v>
      </c>
      <c r="I66" s="2">
        <v>505.510009765625</v>
      </c>
      <c r="J66" t="s">
        <v>14</v>
      </c>
      <c r="K66" t="str">
        <f>IF(Dispute[[#This Row],[Status]] = "In Progress", IF(Dispute[[#This Row],[Time_Line]]&gt;5, "Overdue", "Within SLA"), "Closed")</f>
        <v>Closed</v>
      </c>
    </row>
    <row r="67" spans="1:11" x14ac:dyDescent="0.25">
      <c r="A67" t="s">
        <v>87</v>
      </c>
      <c r="B67" s="1">
        <v>45692</v>
      </c>
      <c r="C67" s="1">
        <v>45700</v>
      </c>
      <c r="D67" s="4">
        <f>IF(OR(Dispute[[#This Row],[Resolution_Date]]="",E67 = 0), "", E67-C67)</f>
        <v>5</v>
      </c>
      <c r="E67" s="1">
        <v>45705</v>
      </c>
      <c r="F67" t="s">
        <v>15</v>
      </c>
      <c r="G67" t="s">
        <v>16</v>
      </c>
      <c r="H67" t="s">
        <v>30</v>
      </c>
      <c r="I67" s="2">
        <v>847.02001953125</v>
      </c>
      <c r="J67" t="s">
        <v>14</v>
      </c>
      <c r="K67" t="str">
        <f>IF(Dispute[[#This Row],[Status]] = "In Progress", IF(Dispute[[#This Row],[Time_Line]]&gt;5, "Overdue", "Within SLA"), "Closed")</f>
        <v>Closed</v>
      </c>
    </row>
    <row r="68" spans="1:11" x14ac:dyDescent="0.25">
      <c r="A68" t="s">
        <v>88</v>
      </c>
      <c r="B68" s="1">
        <v>45701</v>
      </c>
      <c r="C68" s="1">
        <v>45703</v>
      </c>
      <c r="D68" s="4">
        <f>IF(OR(Dispute[[#This Row],[Resolution_Date]]="",E68 = 0), "", E68-C68)</f>
        <v>1</v>
      </c>
      <c r="E68" s="1">
        <v>45704</v>
      </c>
      <c r="F68" t="s">
        <v>10</v>
      </c>
      <c r="G68" t="s">
        <v>16</v>
      </c>
      <c r="H68" t="s">
        <v>23</v>
      </c>
      <c r="I68" s="2">
        <v>236.07000732421875</v>
      </c>
      <c r="J68" t="s">
        <v>9</v>
      </c>
      <c r="K68" t="str">
        <f>IF(Dispute[[#This Row],[Status]] = "In Progress", IF(Dispute[[#This Row],[Time_Line]]&gt;5, "Overdue", "Within SLA"), "Closed")</f>
        <v>Closed</v>
      </c>
    </row>
    <row r="69" spans="1:11" x14ac:dyDescent="0.25">
      <c r="A69" t="s">
        <v>89</v>
      </c>
      <c r="B69" s="1">
        <v>45672</v>
      </c>
      <c r="C69" s="1">
        <v>45682</v>
      </c>
      <c r="D69" s="4">
        <f>IF(OR(Dispute[[#This Row],[Resolution_Date]]="",E69 = 0), "", E69-C69)</f>
        <v>2</v>
      </c>
      <c r="E69" s="1">
        <v>45684</v>
      </c>
      <c r="F69" t="s">
        <v>15</v>
      </c>
      <c r="G69" t="s">
        <v>16</v>
      </c>
      <c r="H69" t="s">
        <v>12</v>
      </c>
      <c r="I69" s="2">
        <v>385.16000366210938</v>
      </c>
      <c r="J69" t="s">
        <v>14</v>
      </c>
      <c r="K69" t="str">
        <f>IF(Dispute[[#This Row],[Status]] = "In Progress", IF(Dispute[[#This Row],[Time_Line]]&gt;5, "Overdue", "Within SLA"), "Closed")</f>
        <v>Closed</v>
      </c>
    </row>
    <row r="70" spans="1:11" x14ac:dyDescent="0.25">
      <c r="A70" t="s">
        <v>90</v>
      </c>
      <c r="B70" s="1">
        <v>45707</v>
      </c>
      <c r="C70" s="1">
        <v>45715</v>
      </c>
      <c r="D70" s="4">
        <f>IF(OR(Dispute[[#This Row],[Resolution_Date]]="",E70 = 0), "", E70-C70)</f>
        <v>2</v>
      </c>
      <c r="E70" s="1">
        <v>45717</v>
      </c>
      <c r="F70" t="s">
        <v>15</v>
      </c>
      <c r="G70" t="s">
        <v>18</v>
      </c>
      <c r="H70" t="s">
        <v>23</v>
      </c>
      <c r="I70" s="2">
        <v>709.75</v>
      </c>
      <c r="J70" t="s">
        <v>9</v>
      </c>
      <c r="K70" t="str">
        <f>IF(Dispute[[#This Row],[Status]] = "In Progress", IF(Dispute[[#This Row],[Time_Line]]&gt;5, "Overdue", "Within SLA"), "Closed")</f>
        <v>Closed</v>
      </c>
    </row>
    <row r="71" spans="1:11" x14ac:dyDescent="0.25">
      <c r="A71" t="s">
        <v>91</v>
      </c>
      <c r="B71" s="1">
        <v>45695</v>
      </c>
      <c r="C71" s="1">
        <v>45697</v>
      </c>
      <c r="D71" s="4" t="str">
        <f>IF(OR(Dispute[[#This Row],[Resolution_Date]]="",E71 = 0), "", E71-C71)</f>
        <v/>
      </c>
      <c r="F71" t="s">
        <v>15</v>
      </c>
      <c r="G71" t="s">
        <v>16</v>
      </c>
      <c r="H71" t="s">
        <v>30</v>
      </c>
      <c r="I71" s="2">
        <v>524.90997314453125</v>
      </c>
      <c r="J71" t="s">
        <v>46</v>
      </c>
      <c r="K71" t="str">
        <f>IF(Dispute[[#This Row],[Status]] = "In Progress", IF(Dispute[[#This Row],[Time_Line]]&gt;5, "Overdue", "Within SLA"), "Closed")</f>
        <v>Overdue</v>
      </c>
    </row>
    <row r="72" spans="1:11" x14ac:dyDescent="0.25">
      <c r="A72" t="s">
        <v>92</v>
      </c>
      <c r="B72" s="1">
        <v>45669</v>
      </c>
      <c r="C72" s="1">
        <v>45674</v>
      </c>
      <c r="D72" s="4">
        <f>IF(OR(Dispute[[#This Row],[Resolution_Date]]="",E72 = 0), "", E72-C72)</f>
        <v>6</v>
      </c>
      <c r="E72" s="1">
        <v>45680</v>
      </c>
      <c r="F72" t="s">
        <v>15</v>
      </c>
      <c r="G72" t="s">
        <v>22</v>
      </c>
      <c r="H72" t="s">
        <v>30</v>
      </c>
      <c r="I72" s="2">
        <v>60.830001831054688</v>
      </c>
      <c r="J72" t="s">
        <v>9</v>
      </c>
      <c r="K72" t="str">
        <f>IF(Dispute[[#This Row],[Status]] = "In Progress", IF(Dispute[[#This Row],[Time_Line]]&gt;5, "Overdue", "Within SLA"), "Closed")</f>
        <v>Closed</v>
      </c>
    </row>
    <row r="73" spans="1:11" x14ac:dyDescent="0.25">
      <c r="A73" t="s">
        <v>93</v>
      </c>
      <c r="B73" s="1">
        <v>45696</v>
      </c>
      <c r="C73" s="1">
        <v>45705</v>
      </c>
      <c r="D73" s="4">
        <f>IF(OR(Dispute[[#This Row],[Resolution_Date]]="",E73 = 0), "", E73-C73)</f>
        <v>1</v>
      </c>
      <c r="E73" s="1">
        <v>45706</v>
      </c>
      <c r="F73" t="s">
        <v>10</v>
      </c>
      <c r="G73" t="s">
        <v>18</v>
      </c>
      <c r="H73" t="s">
        <v>19</v>
      </c>
      <c r="I73" s="2">
        <v>912.09002685546875</v>
      </c>
      <c r="J73" t="s">
        <v>9</v>
      </c>
      <c r="K73" t="str">
        <f>IF(Dispute[[#This Row],[Status]] = "In Progress", IF(Dispute[[#This Row],[Time_Line]]&gt;5, "Overdue", "Within SLA"), "Closed")</f>
        <v>Closed</v>
      </c>
    </row>
    <row r="74" spans="1:11" x14ac:dyDescent="0.25">
      <c r="A74" t="s">
        <v>94</v>
      </c>
      <c r="B74" s="1">
        <v>45684</v>
      </c>
      <c r="C74" s="1">
        <v>45692</v>
      </c>
      <c r="D74" s="4">
        <f>IF(OR(Dispute[[#This Row],[Resolution_Date]]="",E74 = 0), "", E74-C74)</f>
        <v>2</v>
      </c>
      <c r="E74" s="1">
        <v>45694</v>
      </c>
      <c r="F74" t="s">
        <v>25</v>
      </c>
      <c r="G74" t="s">
        <v>16</v>
      </c>
      <c r="H74" t="s">
        <v>19</v>
      </c>
      <c r="I74" s="2">
        <v>756.719970703125</v>
      </c>
      <c r="J74" t="s">
        <v>9</v>
      </c>
      <c r="K74" t="str">
        <f>IF(Dispute[[#This Row],[Status]] = "In Progress", IF(Dispute[[#This Row],[Time_Line]]&gt;5, "Overdue", "Within SLA"), "Closed")</f>
        <v>Closed</v>
      </c>
    </row>
    <row r="75" spans="1:11" x14ac:dyDescent="0.25">
      <c r="A75" t="s">
        <v>95</v>
      </c>
      <c r="B75" s="1">
        <v>45676</v>
      </c>
      <c r="C75" s="1">
        <v>45685</v>
      </c>
      <c r="D75" s="4">
        <f>IF(OR(Dispute[[#This Row],[Resolution_Date]]="",E75 = 0), "", E75-C75)</f>
        <v>6</v>
      </c>
      <c r="E75" s="1">
        <v>45691</v>
      </c>
      <c r="F75" t="s">
        <v>25</v>
      </c>
      <c r="G75" t="s">
        <v>11</v>
      </c>
      <c r="H75" t="s">
        <v>19</v>
      </c>
      <c r="I75" s="2">
        <v>558.3900146484375</v>
      </c>
      <c r="J75" t="s">
        <v>9</v>
      </c>
      <c r="K75" t="str">
        <f>IF(Dispute[[#This Row],[Status]] = "In Progress", IF(Dispute[[#This Row],[Time_Line]]&gt;5, "Overdue", "Within SLA"), "Closed")</f>
        <v>Closed</v>
      </c>
    </row>
    <row r="76" spans="1:11" x14ac:dyDescent="0.25">
      <c r="A76" t="s">
        <v>96</v>
      </c>
      <c r="B76" s="1">
        <v>45693</v>
      </c>
      <c r="C76" s="1">
        <v>45694</v>
      </c>
      <c r="D76" s="4">
        <f>IF(OR(Dispute[[#This Row],[Resolution_Date]]="",E76 = 0), "", E76-C76)</f>
        <v>1</v>
      </c>
      <c r="E76" s="1">
        <v>45695</v>
      </c>
      <c r="F76" t="s">
        <v>10</v>
      </c>
      <c r="G76" t="s">
        <v>22</v>
      </c>
      <c r="H76" t="s">
        <v>12</v>
      </c>
      <c r="I76" s="2">
        <v>1008.2100219726563</v>
      </c>
      <c r="J76" t="s">
        <v>9</v>
      </c>
      <c r="K76" t="str">
        <f>IF(Dispute[[#This Row],[Status]] = "In Progress", IF(Dispute[[#This Row],[Time_Line]]&gt;5, "Overdue", "Within SLA"), "Closed")</f>
        <v>Closed</v>
      </c>
    </row>
    <row r="77" spans="1:11" x14ac:dyDescent="0.25">
      <c r="A77" t="s">
        <v>97</v>
      </c>
      <c r="B77" s="1">
        <v>45691</v>
      </c>
      <c r="C77" s="1">
        <v>45698</v>
      </c>
      <c r="D77" s="4" t="str">
        <f>IF(OR(Dispute[[#This Row],[Resolution_Date]]="",E77 = 0), "", E77-C77)</f>
        <v/>
      </c>
      <c r="F77" t="s">
        <v>10</v>
      </c>
      <c r="G77" t="s">
        <v>18</v>
      </c>
      <c r="H77" t="s">
        <v>30</v>
      </c>
      <c r="I77" s="2">
        <v>731.71002197265625</v>
      </c>
      <c r="J77" t="s">
        <v>46</v>
      </c>
      <c r="K77" t="str">
        <f>IF(Dispute[[#This Row],[Status]] = "In Progress", IF(Dispute[[#This Row],[Time_Line]]&gt;5, "Overdue", "Within SLA"), "Closed")</f>
        <v>Overdue</v>
      </c>
    </row>
    <row r="78" spans="1:11" x14ac:dyDescent="0.25">
      <c r="A78" t="s">
        <v>98</v>
      </c>
      <c r="B78" s="1">
        <v>45704</v>
      </c>
      <c r="C78" s="1">
        <v>45712</v>
      </c>
      <c r="D78" s="4">
        <f>IF(OR(Dispute[[#This Row],[Resolution_Date]]="",E78 = 0), "", E78-C78)</f>
        <v>6</v>
      </c>
      <c r="E78" s="1">
        <v>45718</v>
      </c>
      <c r="F78" t="s">
        <v>15</v>
      </c>
      <c r="G78" t="s">
        <v>22</v>
      </c>
      <c r="H78" t="s">
        <v>30</v>
      </c>
      <c r="I78" s="2">
        <v>352.92999267578125</v>
      </c>
      <c r="J78" t="s">
        <v>9</v>
      </c>
      <c r="K78" t="str">
        <f>IF(Dispute[[#This Row],[Status]] = "In Progress", IF(Dispute[[#This Row],[Time_Line]]&gt;5, "Overdue", "Within SLA"), "Closed")</f>
        <v>Closed</v>
      </c>
    </row>
    <row r="79" spans="1:11" x14ac:dyDescent="0.25">
      <c r="A79" t="s">
        <v>99</v>
      </c>
      <c r="B79" s="1">
        <v>45682</v>
      </c>
      <c r="C79" s="1">
        <v>45686</v>
      </c>
      <c r="D79" s="4">
        <f>IF(OR(Dispute[[#This Row],[Resolution_Date]]="",E79 = 0), "", E79-C79)</f>
        <v>4</v>
      </c>
      <c r="E79" s="1">
        <v>45690</v>
      </c>
      <c r="F79" t="s">
        <v>15</v>
      </c>
      <c r="G79" t="s">
        <v>11</v>
      </c>
      <c r="H79" t="s">
        <v>19</v>
      </c>
      <c r="I79" s="2">
        <v>180.22999572753906</v>
      </c>
      <c r="J79" t="s">
        <v>14</v>
      </c>
      <c r="K79" t="str">
        <f>IF(Dispute[[#This Row],[Status]] = "In Progress", IF(Dispute[[#This Row],[Time_Line]]&gt;5, "Overdue", "Within SLA"), "Closed")</f>
        <v>Closed</v>
      </c>
    </row>
    <row r="80" spans="1:11" x14ac:dyDescent="0.25">
      <c r="A80" t="s">
        <v>100</v>
      </c>
      <c r="B80" s="1">
        <v>45697</v>
      </c>
      <c r="C80" s="1">
        <v>45699</v>
      </c>
      <c r="D80" s="4" t="str">
        <f>IF(OR(Dispute[[#This Row],[Resolution_Date]]="",E80 = 0), "", E80-C80)</f>
        <v/>
      </c>
      <c r="F80" t="s">
        <v>15</v>
      </c>
      <c r="G80" t="s">
        <v>11</v>
      </c>
      <c r="H80" t="s">
        <v>30</v>
      </c>
      <c r="I80" s="2">
        <v>857.8900146484375</v>
      </c>
      <c r="J80" t="s">
        <v>46</v>
      </c>
      <c r="K80" t="str">
        <f>IF(Dispute[[#This Row],[Status]] = "In Progress", IF(Dispute[[#This Row],[Time_Line]]&gt;5, "Overdue", "Within SLA"), "Closed")</f>
        <v>Overdue</v>
      </c>
    </row>
    <row r="81" spans="1:11" x14ac:dyDescent="0.25">
      <c r="A81" t="s">
        <v>101</v>
      </c>
      <c r="B81" s="1">
        <v>45684</v>
      </c>
      <c r="C81" s="1">
        <v>45689</v>
      </c>
      <c r="D81" s="4">
        <f>IF(OR(Dispute[[#This Row],[Resolution_Date]]="",E81 = 0), "", E81-C81)</f>
        <v>5</v>
      </c>
      <c r="E81" s="1">
        <v>45694</v>
      </c>
      <c r="F81" t="s">
        <v>25</v>
      </c>
      <c r="G81" t="s">
        <v>16</v>
      </c>
      <c r="H81" t="s">
        <v>23</v>
      </c>
      <c r="I81" s="2">
        <v>565.44000244140625</v>
      </c>
      <c r="J81" t="s">
        <v>9</v>
      </c>
      <c r="K81" t="str">
        <f>IF(Dispute[[#This Row],[Status]] = "In Progress", IF(Dispute[[#This Row],[Time_Line]]&gt;5, "Overdue", "Within SLA"), "Closed")</f>
        <v>Closed</v>
      </c>
    </row>
    <row r="82" spans="1:11" x14ac:dyDescent="0.25">
      <c r="A82" t="s">
        <v>102</v>
      </c>
      <c r="B82" s="1">
        <v>45702</v>
      </c>
      <c r="C82" s="1">
        <v>45710</v>
      </c>
      <c r="D82" s="4">
        <f>IF(OR(Dispute[[#This Row],[Resolution_Date]]="",E82 = 0), "", E82-C82)</f>
        <v>2</v>
      </c>
      <c r="E82" s="1">
        <v>45712</v>
      </c>
      <c r="F82" t="s">
        <v>10</v>
      </c>
      <c r="G82" t="s">
        <v>16</v>
      </c>
      <c r="H82" t="s">
        <v>19</v>
      </c>
      <c r="I82" s="2">
        <v>570</v>
      </c>
      <c r="J82" t="s">
        <v>9</v>
      </c>
      <c r="K82" t="str">
        <f>IF(Dispute[[#This Row],[Status]] = "In Progress", IF(Dispute[[#This Row],[Time_Line]]&gt;5, "Overdue", "Within SLA"), "Closed")</f>
        <v>Closed</v>
      </c>
    </row>
    <row r="83" spans="1:11" x14ac:dyDescent="0.25">
      <c r="A83" t="s">
        <v>103</v>
      </c>
      <c r="B83" s="1">
        <v>45678</v>
      </c>
      <c r="C83" s="1">
        <v>45681</v>
      </c>
      <c r="D83" s="4">
        <f>IF(OR(Dispute[[#This Row],[Resolution_Date]]="",E83 = 0), "", E83-C83)</f>
        <v>4</v>
      </c>
      <c r="E83" s="1">
        <v>45685</v>
      </c>
      <c r="F83" t="s">
        <v>15</v>
      </c>
      <c r="G83" t="s">
        <v>11</v>
      </c>
      <c r="H83" t="s">
        <v>30</v>
      </c>
      <c r="I83" s="2">
        <v>324.57998657226563</v>
      </c>
      <c r="J83" t="s">
        <v>14</v>
      </c>
      <c r="K83" t="str">
        <f>IF(Dispute[[#This Row],[Status]] = "In Progress", IF(Dispute[[#This Row],[Time_Line]]&gt;5, "Overdue", "Within SLA"), "Closed")</f>
        <v>Closed</v>
      </c>
    </row>
    <row r="84" spans="1:11" x14ac:dyDescent="0.25">
      <c r="A84" t="s">
        <v>104</v>
      </c>
      <c r="B84" s="1">
        <v>45661</v>
      </c>
      <c r="C84" s="1">
        <v>45664</v>
      </c>
      <c r="D84" s="4">
        <f>IF(OR(Dispute[[#This Row],[Resolution_Date]]="",E84 = 0), "", E84-C84)</f>
        <v>3</v>
      </c>
      <c r="E84" s="1">
        <v>45667</v>
      </c>
      <c r="F84" t="s">
        <v>15</v>
      </c>
      <c r="G84" t="s">
        <v>18</v>
      </c>
      <c r="H84" t="s">
        <v>19</v>
      </c>
      <c r="I84" s="2">
        <v>272.70999145507813</v>
      </c>
      <c r="J84" t="s">
        <v>14</v>
      </c>
      <c r="K84" t="str">
        <f>IF(Dispute[[#This Row],[Status]] = "In Progress", IF(Dispute[[#This Row],[Time_Line]]&gt;5, "Overdue", "Within SLA"), "Closed")</f>
        <v>Closed</v>
      </c>
    </row>
    <row r="85" spans="1:11" x14ac:dyDescent="0.25">
      <c r="A85" t="s">
        <v>105</v>
      </c>
      <c r="B85" s="1">
        <v>45670</v>
      </c>
      <c r="C85" s="1">
        <v>45675</v>
      </c>
      <c r="D85" s="4">
        <f>IF(OR(Dispute[[#This Row],[Resolution_Date]]="",E85 = 0), "", E85-C85)</f>
        <v>2</v>
      </c>
      <c r="E85" s="1">
        <v>45677</v>
      </c>
      <c r="F85" t="s">
        <v>15</v>
      </c>
      <c r="G85" t="s">
        <v>22</v>
      </c>
      <c r="H85" t="s">
        <v>23</v>
      </c>
      <c r="I85" s="2">
        <v>68.599998474121094</v>
      </c>
      <c r="J85" t="s">
        <v>14</v>
      </c>
      <c r="K85" t="str">
        <f>IF(Dispute[[#This Row],[Status]] = "In Progress", IF(Dispute[[#This Row],[Time_Line]]&gt;5, "Overdue", "Within SLA"), "Closed")</f>
        <v>Closed</v>
      </c>
    </row>
    <row r="86" spans="1:11" x14ac:dyDescent="0.25">
      <c r="A86" t="s">
        <v>106</v>
      </c>
      <c r="B86" s="1">
        <v>45667</v>
      </c>
      <c r="C86" s="1">
        <v>45670</v>
      </c>
      <c r="D86" s="4">
        <f>IF(OR(Dispute[[#This Row],[Resolution_Date]]="",E86 = 0), "", E86-C86)</f>
        <v>5</v>
      </c>
      <c r="E86" s="1">
        <v>45675</v>
      </c>
      <c r="F86" t="s">
        <v>10</v>
      </c>
      <c r="G86" t="s">
        <v>16</v>
      </c>
      <c r="H86" t="s">
        <v>30</v>
      </c>
      <c r="I86" s="2">
        <v>480.04000854492188</v>
      </c>
      <c r="J86" t="s">
        <v>9</v>
      </c>
      <c r="K86" t="str">
        <f>IF(Dispute[[#This Row],[Status]] = "In Progress", IF(Dispute[[#This Row],[Time_Line]]&gt;5, "Overdue", "Within SLA"), "Closed")</f>
        <v>Closed</v>
      </c>
    </row>
    <row r="87" spans="1:11" x14ac:dyDescent="0.25">
      <c r="A87" t="s">
        <v>107</v>
      </c>
      <c r="B87" s="1">
        <v>45658</v>
      </c>
      <c r="C87" s="1">
        <v>45661</v>
      </c>
      <c r="D87" s="4" t="str">
        <f>IF(OR(Dispute[[#This Row],[Resolution_Date]]="",E87 = 0), "", E87-C87)</f>
        <v/>
      </c>
      <c r="F87" t="s">
        <v>15</v>
      </c>
      <c r="G87" t="s">
        <v>16</v>
      </c>
      <c r="H87" t="s">
        <v>19</v>
      </c>
      <c r="I87" s="2">
        <v>303.83999633789063</v>
      </c>
      <c r="J87" t="s">
        <v>46</v>
      </c>
      <c r="K87" t="str">
        <f>IF(Dispute[[#This Row],[Status]] = "In Progress", IF(Dispute[[#This Row],[Time_Line]]&gt;5, "Overdue", "Within SLA"), "Closed")</f>
        <v>Overdue</v>
      </c>
    </row>
    <row r="88" spans="1:11" x14ac:dyDescent="0.25">
      <c r="A88" t="s">
        <v>108</v>
      </c>
      <c r="B88" s="1">
        <v>45710</v>
      </c>
      <c r="C88" s="1">
        <v>45712</v>
      </c>
      <c r="D88" s="4">
        <f>IF(OR(Dispute[[#This Row],[Resolution_Date]]="",E88 = 0), "", E88-C88)</f>
        <v>5</v>
      </c>
      <c r="E88" s="1">
        <v>45717</v>
      </c>
      <c r="F88" t="s">
        <v>10</v>
      </c>
      <c r="G88" t="s">
        <v>16</v>
      </c>
      <c r="H88" t="s">
        <v>23</v>
      </c>
      <c r="I88" s="2">
        <v>488.33999633789063</v>
      </c>
      <c r="J88" t="s">
        <v>14</v>
      </c>
      <c r="K88" t="str">
        <f>IF(Dispute[[#This Row],[Status]] = "In Progress", IF(Dispute[[#This Row],[Time_Line]]&gt;5, "Overdue", "Within SLA"), "Closed")</f>
        <v>Closed</v>
      </c>
    </row>
    <row r="89" spans="1:11" x14ac:dyDescent="0.25">
      <c r="A89" t="s">
        <v>109</v>
      </c>
      <c r="B89" s="1">
        <v>45707</v>
      </c>
      <c r="C89" s="1">
        <v>45710</v>
      </c>
      <c r="D89" s="4">
        <f>IF(OR(Dispute[[#This Row],[Resolution_Date]]="",E89 = 0), "", E89-C89)</f>
        <v>3</v>
      </c>
      <c r="E89" s="1">
        <v>45713</v>
      </c>
      <c r="F89" t="s">
        <v>15</v>
      </c>
      <c r="G89" t="s">
        <v>16</v>
      </c>
      <c r="H89" t="s">
        <v>23</v>
      </c>
      <c r="I89" s="2">
        <v>892.3599853515625</v>
      </c>
      <c r="J89" t="s">
        <v>14</v>
      </c>
      <c r="K89" t="str">
        <f>IF(Dispute[[#This Row],[Status]] = "In Progress", IF(Dispute[[#This Row],[Time_Line]]&gt;5, "Overdue", "Within SLA"), "Closed")</f>
        <v>Closed</v>
      </c>
    </row>
    <row r="90" spans="1:11" x14ac:dyDescent="0.25">
      <c r="A90" t="s">
        <v>110</v>
      </c>
      <c r="B90" s="1">
        <v>45711</v>
      </c>
      <c r="C90" s="1">
        <v>45714</v>
      </c>
      <c r="D90" s="4">
        <f>IF(OR(Dispute[[#This Row],[Resolution_Date]]="",E90 = 0), "", E90-C90)</f>
        <v>7</v>
      </c>
      <c r="E90" s="1">
        <v>45721</v>
      </c>
      <c r="F90" t="s">
        <v>15</v>
      </c>
      <c r="G90" t="s">
        <v>22</v>
      </c>
      <c r="H90" t="s">
        <v>19</v>
      </c>
      <c r="I90" s="2">
        <v>202.86000061035156</v>
      </c>
      <c r="J90" t="s">
        <v>14</v>
      </c>
      <c r="K90" t="str">
        <f>IF(Dispute[[#This Row],[Status]] = "In Progress", IF(Dispute[[#This Row],[Time_Line]]&gt;5, "Overdue", "Within SLA"), "Closed")</f>
        <v>Closed</v>
      </c>
    </row>
    <row r="91" spans="1:11" x14ac:dyDescent="0.25">
      <c r="A91" t="s">
        <v>111</v>
      </c>
      <c r="B91" s="1">
        <v>45696</v>
      </c>
      <c r="C91" s="1">
        <v>45703</v>
      </c>
      <c r="D91" s="4">
        <f>IF(OR(Dispute[[#This Row],[Resolution_Date]]="",E91 = 0), "", E91-C91)</f>
        <v>3</v>
      </c>
      <c r="E91" s="1">
        <v>45706</v>
      </c>
      <c r="F91" t="s">
        <v>15</v>
      </c>
      <c r="G91" t="s">
        <v>11</v>
      </c>
      <c r="H91" t="s">
        <v>19</v>
      </c>
      <c r="I91" s="2">
        <v>556.489990234375</v>
      </c>
      <c r="J91" t="s">
        <v>9</v>
      </c>
      <c r="K91" t="str">
        <f>IF(Dispute[[#This Row],[Status]] = "In Progress", IF(Dispute[[#This Row],[Time_Line]]&gt;5, "Overdue", "Within SLA"), "Closed")</f>
        <v>Closed</v>
      </c>
    </row>
    <row r="92" spans="1:11" x14ac:dyDescent="0.25">
      <c r="A92" t="s">
        <v>112</v>
      </c>
      <c r="B92" s="1">
        <v>45675</v>
      </c>
      <c r="C92" s="1">
        <v>45685</v>
      </c>
      <c r="D92" s="4" t="str">
        <f>IF(OR(Dispute[[#This Row],[Resolution_Date]]="",E92 = 0), "", E92-C92)</f>
        <v/>
      </c>
      <c r="F92" t="s">
        <v>15</v>
      </c>
      <c r="G92" t="s">
        <v>22</v>
      </c>
      <c r="H92" t="s">
        <v>30</v>
      </c>
      <c r="I92" s="2">
        <v>50.279998779296875</v>
      </c>
      <c r="J92" t="s">
        <v>46</v>
      </c>
      <c r="K92" t="str">
        <f>IF(Dispute[[#This Row],[Status]] = "In Progress", IF(Dispute[[#This Row],[Time_Line]]&gt;5, "Overdue", "Within SLA"), "Closed")</f>
        <v>Overdue</v>
      </c>
    </row>
    <row r="93" spans="1:11" x14ac:dyDescent="0.25">
      <c r="A93" t="s">
        <v>113</v>
      </c>
      <c r="B93" s="1">
        <v>45701</v>
      </c>
      <c r="C93" s="1">
        <v>45705</v>
      </c>
      <c r="D93" s="4">
        <f>IF(OR(Dispute[[#This Row],[Resolution_Date]]="",E93 = 0), "", E93-C93)</f>
        <v>3</v>
      </c>
      <c r="E93" s="1">
        <v>45708</v>
      </c>
      <c r="F93" t="s">
        <v>25</v>
      </c>
      <c r="G93" t="s">
        <v>18</v>
      </c>
      <c r="H93" t="s">
        <v>23</v>
      </c>
      <c r="I93" s="2">
        <v>726.40997314453125</v>
      </c>
      <c r="J93" t="s">
        <v>9</v>
      </c>
      <c r="K93" t="str">
        <f>IF(Dispute[[#This Row],[Status]] = "In Progress", IF(Dispute[[#This Row],[Time_Line]]&gt;5, "Overdue", "Within SLA"), "Closed")</f>
        <v>Closed</v>
      </c>
    </row>
    <row r="94" spans="1:11" x14ac:dyDescent="0.25">
      <c r="A94" t="s">
        <v>114</v>
      </c>
      <c r="B94" s="1">
        <v>45700</v>
      </c>
      <c r="C94" s="1">
        <v>45703</v>
      </c>
      <c r="D94" s="4">
        <f>IF(OR(Dispute[[#This Row],[Resolution_Date]]="",E94 = 0), "", E94-C94)</f>
        <v>5</v>
      </c>
      <c r="E94" s="1">
        <v>45708</v>
      </c>
      <c r="F94" t="s">
        <v>10</v>
      </c>
      <c r="G94" t="s">
        <v>11</v>
      </c>
      <c r="H94" t="s">
        <v>12</v>
      </c>
      <c r="I94" s="2">
        <v>938.8499755859375</v>
      </c>
      <c r="J94" t="s">
        <v>14</v>
      </c>
      <c r="K94" t="str">
        <f>IF(Dispute[[#This Row],[Status]] = "In Progress", IF(Dispute[[#This Row],[Time_Line]]&gt;5, "Overdue", "Within SLA"), "Closed")</f>
        <v>Closed</v>
      </c>
    </row>
    <row r="95" spans="1:11" x14ac:dyDescent="0.25">
      <c r="A95" t="s">
        <v>115</v>
      </c>
      <c r="B95" s="1">
        <v>45682</v>
      </c>
      <c r="C95" s="1">
        <v>45689</v>
      </c>
      <c r="D95" s="4">
        <f>IF(OR(Dispute[[#This Row],[Resolution_Date]]="",E95 = 0), "", E95-C95)</f>
        <v>4</v>
      </c>
      <c r="E95" s="1">
        <v>45693</v>
      </c>
      <c r="F95" t="s">
        <v>10</v>
      </c>
      <c r="G95" t="s">
        <v>11</v>
      </c>
      <c r="H95" t="s">
        <v>30</v>
      </c>
      <c r="I95" s="2">
        <v>832.8900146484375</v>
      </c>
      <c r="J95" t="s">
        <v>9</v>
      </c>
      <c r="K95" t="str">
        <f>IF(Dispute[[#This Row],[Status]] = "In Progress", IF(Dispute[[#This Row],[Time_Line]]&gt;5, "Overdue", "Within SLA"), "Closed")</f>
        <v>Closed</v>
      </c>
    </row>
    <row r="96" spans="1:11" x14ac:dyDescent="0.25">
      <c r="A96" t="s">
        <v>116</v>
      </c>
      <c r="B96" s="1">
        <v>45664</v>
      </c>
      <c r="C96" s="1">
        <v>45671</v>
      </c>
      <c r="D96" s="4">
        <f>IF(OR(Dispute[[#This Row],[Resolution_Date]]="",E96 = 0), "", E96-C96)</f>
        <v>6</v>
      </c>
      <c r="E96" s="1">
        <v>45677</v>
      </c>
      <c r="F96" t="s">
        <v>25</v>
      </c>
      <c r="G96" t="s">
        <v>18</v>
      </c>
      <c r="H96" t="s">
        <v>30</v>
      </c>
      <c r="I96" s="2">
        <v>86.610000610351563</v>
      </c>
      <c r="J96" t="s">
        <v>9</v>
      </c>
      <c r="K96" t="str">
        <f>IF(Dispute[[#This Row],[Status]] = "In Progress", IF(Dispute[[#This Row],[Time_Line]]&gt;5, "Overdue", "Within SLA"), "Closed")</f>
        <v>Closed</v>
      </c>
    </row>
    <row r="97" spans="1:11" x14ac:dyDescent="0.25">
      <c r="A97" t="s">
        <v>117</v>
      </c>
      <c r="B97" s="1">
        <v>45682</v>
      </c>
      <c r="C97" s="1">
        <v>45684</v>
      </c>
      <c r="D97" s="4" t="str">
        <f>IF(OR(Dispute[[#This Row],[Resolution_Date]]="",E97 = 0), "", E97-C97)</f>
        <v/>
      </c>
      <c r="F97" t="s">
        <v>25</v>
      </c>
      <c r="G97" t="s">
        <v>16</v>
      </c>
      <c r="H97" t="s">
        <v>30</v>
      </c>
      <c r="I97" s="2">
        <v>344.95999145507813</v>
      </c>
      <c r="J97" t="s">
        <v>46</v>
      </c>
      <c r="K97" t="str">
        <f>IF(Dispute[[#This Row],[Status]] = "In Progress", IF(Dispute[[#This Row],[Time_Line]]&gt;5, "Overdue", "Within SLA"), "Closed")</f>
        <v>Overdue</v>
      </c>
    </row>
    <row r="98" spans="1:11" x14ac:dyDescent="0.25">
      <c r="A98" t="s">
        <v>118</v>
      </c>
      <c r="B98" s="1">
        <v>45682</v>
      </c>
      <c r="C98" s="1">
        <v>45687</v>
      </c>
      <c r="D98" s="4" t="str">
        <f>IF(OR(Dispute[[#This Row],[Resolution_Date]]="",E98 = 0), "", E98-C98)</f>
        <v/>
      </c>
      <c r="F98" t="s">
        <v>15</v>
      </c>
      <c r="G98" t="s">
        <v>18</v>
      </c>
      <c r="H98" t="s">
        <v>12</v>
      </c>
      <c r="I98" s="2">
        <v>342.64999389648438</v>
      </c>
      <c r="J98" t="s">
        <v>46</v>
      </c>
      <c r="K98" t="str">
        <f>IF(Dispute[[#This Row],[Status]] = "In Progress", IF(Dispute[[#This Row],[Time_Line]]&gt;5, "Overdue", "Within SLA"), "Closed")</f>
        <v>Overdue</v>
      </c>
    </row>
    <row r="99" spans="1:11" x14ac:dyDescent="0.25">
      <c r="A99" t="s">
        <v>119</v>
      </c>
      <c r="B99" s="1">
        <v>45668</v>
      </c>
      <c r="C99" s="1">
        <v>45674</v>
      </c>
      <c r="D99" s="4">
        <f>IF(OR(Dispute[[#This Row],[Resolution_Date]]="",E99 = 0), "", E99-C99)</f>
        <v>4</v>
      </c>
      <c r="E99" s="1">
        <v>45678</v>
      </c>
      <c r="F99" t="s">
        <v>25</v>
      </c>
      <c r="G99" t="s">
        <v>11</v>
      </c>
      <c r="H99" t="s">
        <v>30</v>
      </c>
      <c r="I99" s="2">
        <v>452.70999145507813</v>
      </c>
      <c r="J99" t="s">
        <v>9</v>
      </c>
      <c r="K99" t="str">
        <f>IF(Dispute[[#This Row],[Status]] = "In Progress", IF(Dispute[[#This Row],[Time_Line]]&gt;5, "Overdue", "Within SLA"), "Closed")</f>
        <v>Closed</v>
      </c>
    </row>
    <row r="100" spans="1:11" x14ac:dyDescent="0.25">
      <c r="A100" t="s">
        <v>120</v>
      </c>
      <c r="B100" s="1">
        <v>45690</v>
      </c>
      <c r="C100" s="1">
        <v>45699</v>
      </c>
      <c r="D100" s="4">
        <f>IF(OR(Dispute[[#This Row],[Resolution_Date]]="",E100 = 0), "", E100-C100)</f>
        <v>5</v>
      </c>
      <c r="E100" s="1">
        <v>45704</v>
      </c>
      <c r="F100" t="s">
        <v>25</v>
      </c>
      <c r="G100" t="s">
        <v>11</v>
      </c>
      <c r="H100" t="s">
        <v>23</v>
      </c>
      <c r="I100" s="2">
        <v>188.94000244140625</v>
      </c>
      <c r="J100" t="s">
        <v>9</v>
      </c>
      <c r="K100" t="str">
        <f>IF(Dispute[[#This Row],[Status]] = "In Progress", IF(Dispute[[#This Row],[Time_Line]]&gt;5, "Overdue", "Within SLA"), "Closed")</f>
        <v>Closed</v>
      </c>
    </row>
    <row r="101" spans="1:11" x14ac:dyDescent="0.25">
      <c r="A101" t="s">
        <v>121</v>
      </c>
      <c r="B101" s="1">
        <v>45703</v>
      </c>
      <c r="C101" s="1">
        <v>45706</v>
      </c>
      <c r="D101" s="4" t="str">
        <f>IF(OR(Dispute[[#This Row],[Resolution_Date]]="",E101 = 0), "", E101-C101)</f>
        <v/>
      </c>
      <c r="F101" t="s">
        <v>25</v>
      </c>
      <c r="G101" t="s">
        <v>22</v>
      </c>
      <c r="H101" t="s">
        <v>12</v>
      </c>
      <c r="I101" s="2">
        <v>635.82000732421875</v>
      </c>
      <c r="J101" t="s">
        <v>46</v>
      </c>
      <c r="K101" t="str">
        <f>IF(Dispute[[#This Row],[Status]] = "In Progress", IF(Dispute[[#This Row],[Time_Line]]&gt;5, "Overdue", "Within SLA"), "Closed")</f>
        <v>Overdue</v>
      </c>
    </row>
    <row r="102" spans="1:11" x14ac:dyDescent="0.25">
      <c r="A102" t="s">
        <v>122</v>
      </c>
      <c r="B102" s="1">
        <v>45706</v>
      </c>
      <c r="C102" s="1">
        <v>45716</v>
      </c>
      <c r="D102" s="4">
        <f>IF(OR(Dispute[[#This Row],[Resolution_Date]]="",E102 = 0), "", E102-C102)</f>
        <v>1</v>
      </c>
      <c r="E102" s="1">
        <v>45717</v>
      </c>
      <c r="F102" t="s">
        <v>25</v>
      </c>
      <c r="G102" t="s">
        <v>18</v>
      </c>
      <c r="H102" t="s">
        <v>30</v>
      </c>
      <c r="I102" s="2">
        <v>497.45001220703125</v>
      </c>
      <c r="J102" t="s">
        <v>14</v>
      </c>
      <c r="K102" t="str">
        <f>IF(Dispute[[#This Row],[Status]] = "In Progress", IF(Dispute[[#This Row],[Time_Line]]&gt;5, "Overdue", "Within SLA"), "Closed")</f>
        <v>Closed</v>
      </c>
    </row>
    <row r="103" spans="1:11" x14ac:dyDescent="0.25">
      <c r="A103" t="s">
        <v>123</v>
      </c>
      <c r="B103" s="1">
        <v>45681</v>
      </c>
      <c r="C103" s="1">
        <v>45684</v>
      </c>
      <c r="D103" s="4">
        <f>IF(OR(Dispute[[#This Row],[Resolution_Date]]="",E103 = 0), "", E103-C103)</f>
        <v>2</v>
      </c>
      <c r="E103" s="1">
        <v>45686</v>
      </c>
      <c r="F103" t="s">
        <v>15</v>
      </c>
      <c r="G103" t="s">
        <v>22</v>
      </c>
      <c r="H103" t="s">
        <v>30</v>
      </c>
      <c r="I103" s="2">
        <v>162.97999572753906</v>
      </c>
      <c r="J103" t="s">
        <v>9</v>
      </c>
      <c r="K103" t="str">
        <f>IF(Dispute[[#This Row],[Status]] = "In Progress", IF(Dispute[[#This Row],[Time_Line]]&gt;5, "Overdue", "Within SLA"), "Closed")</f>
        <v>Closed</v>
      </c>
    </row>
    <row r="104" spans="1:11" x14ac:dyDescent="0.25">
      <c r="A104" t="s">
        <v>124</v>
      </c>
      <c r="B104" s="1">
        <v>45677</v>
      </c>
      <c r="C104" s="1">
        <v>45678</v>
      </c>
      <c r="D104" s="4">
        <f>IF(OR(Dispute[[#This Row],[Resolution_Date]]="",E104 = 0), "", E104-C104)</f>
        <v>7</v>
      </c>
      <c r="E104" s="1">
        <v>45685</v>
      </c>
      <c r="F104" t="s">
        <v>25</v>
      </c>
      <c r="G104" t="s">
        <v>16</v>
      </c>
      <c r="H104" t="s">
        <v>23</v>
      </c>
      <c r="I104" s="2">
        <v>515.54998779296875</v>
      </c>
      <c r="J104" t="s">
        <v>9</v>
      </c>
      <c r="K104" t="str">
        <f>IF(Dispute[[#This Row],[Status]] = "In Progress", IF(Dispute[[#This Row],[Time_Line]]&gt;5, "Overdue", "Within SLA"), "Closed")</f>
        <v>Closed</v>
      </c>
    </row>
    <row r="105" spans="1:11" x14ac:dyDescent="0.25">
      <c r="A105" t="s">
        <v>125</v>
      </c>
      <c r="B105" s="1">
        <v>45679</v>
      </c>
      <c r="C105" s="1">
        <v>45683</v>
      </c>
      <c r="D105" s="4">
        <f>IF(OR(Dispute[[#This Row],[Resolution_Date]]="",E105 = 0), "", E105-C105)</f>
        <v>5</v>
      </c>
      <c r="E105" s="1">
        <v>45688</v>
      </c>
      <c r="F105" t="s">
        <v>25</v>
      </c>
      <c r="G105" t="s">
        <v>16</v>
      </c>
      <c r="H105" t="s">
        <v>23</v>
      </c>
      <c r="I105" s="2">
        <v>966.08001708984375</v>
      </c>
      <c r="J105" t="s">
        <v>14</v>
      </c>
      <c r="K105" t="str">
        <f>IF(Dispute[[#This Row],[Status]] = "In Progress", IF(Dispute[[#This Row],[Time_Line]]&gt;5, "Overdue", "Within SLA"), "Closed")</f>
        <v>Closed</v>
      </c>
    </row>
    <row r="106" spans="1:11" x14ac:dyDescent="0.25">
      <c r="A106" t="s">
        <v>126</v>
      </c>
      <c r="B106" s="1">
        <v>45701</v>
      </c>
      <c r="C106" s="1">
        <v>45704</v>
      </c>
      <c r="D106" s="4">
        <f>IF(OR(Dispute[[#This Row],[Resolution_Date]]="",E106 = 0), "", E106-C106)</f>
        <v>4</v>
      </c>
      <c r="E106" s="1">
        <v>45708</v>
      </c>
      <c r="F106" t="s">
        <v>15</v>
      </c>
      <c r="G106" t="s">
        <v>11</v>
      </c>
      <c r="H106" t="s">
        <v>30</v>
      </c>
      <c r="I106" s="2">
        <v>676.3599853515625</v>
      </c>
      <c r="J106" t="s">
        <v>14</v>
      </c>
      <c r="K106" t="str">
        <f>IF(Dispute[[#This Row],[Status]] = "In Progress", IF(Dispute[[#This Row],[Time_Line]]&gt;5, "Overdue", "Within SLA"), "Closed")</f>
        <v>Closed</v>
      </c>
    </row>
    <row r="107" spans="1:11" x14ac:dyDescent="0.25">
      <c r="A107" t="s">
        <v>127</v>
      </c>
      <c r="B107" s="1">
        <v>45685</v>
      </c>
      <c r="C107" s="1">
        <v>45692</v>
      </c>
      <c r="D107" s="4">
        <f>IF(OR(Dispute[[#This Row],[Resolution_Date]]="",E107 = 0), "", E107-C107)</f>
        <v>1</v>
      </c>
      <c r="E107" s="1">
        <v>45693</v>
      </c>
      <c r="F107" t="s">
        <v>25</v>
      </c>
      <c r="G107" t="s">
        <v>11</v>
      </c>
      <c r="H107" t="s">
        <v>30</v>
      </c>
      <c r="I107" s="2">
        <v>1163.56005859375</v>
      </c>
      <c r="J107" t="s">
        <v>9</v>
      </c>
      <c r="K107" t="str">
        <f>IF(Dispute[[#This Row],[Status]] = "In Progress", IF(Dispute[[#This Row],[Time_Line]]&gt;5, "Overdue", "Within SLA"), "Closed")</f>
        <v>Closed</v>
      </c>
    </row>
    <row r="108" spans="1:11" x14ac:dyDescent="0.25">
      <c r="A108" t="s">
        <v>128</v>
      </c>
      <c r="B108" s="1">
        <v>45671</v>
      </c>
      <c r="C108" s="1">
        <v>45675</v>
      </c>
      <c r="D108" s="4">
        <f>IF(OR(Dispute[[#This Row],[Resolution_Date]]="",E108 = 0), "", E108-C108)</f>
        <v>4</v>
      </c>
      <c r="E108" s="1">
        <v>45679</v>
      </c>
      <c r="F108" t="s">
        <v>10</v>
      </c>
      <c r="G108" t="s">
        <v>11</v>
      </c>
      <c r="H108" t="s">
        <v>23</v>
      </c>
      <c r="I108" s="2">
        <v>1172.0799560546875</v>
      </c>
      <c r="J108" t="s">
        <v>9</v>
      </c>
      <c r="K108" t="str">
        <f>IF(Dispute[[#This Row],[Status]] = "In Progress", IF(Dispute[[#This Row],[Time_Line]]&gt;5, "Overdue", "Within SLA"), "Closed")</f>
        <v>Closed</v>
      </c>
    </row>
    <row r="109" spans="1:11" x14ac:dyDescent="0.25">
      <c r="A109" t="s">
        <v>129</v>
      </c>
      <c r="B109" s="1">
        <v>45708</v>
      </c>
      <c r="C109" s="1">
        <v>45717</v>
      </c>
      <c r="D109" s="4">
        <f>IF(OR(Dispute[[#This Row],[Resolution_Date]]="",E109 = 0), "", E109-C109)</f>
        <v>2</v>
      </c>
      <c r="E109" s="1">
        <v>45719</v>
      </c>
      <c r="F109" t="s">
        <v>15</v>
      </c>
      <c r="G109" t="s">
        <v>16</v>
      </c>
      <c r="H109" t="s">
        <v>19</v>
      </c>
      <c r="I109" s="2">
        <v>83.029998779296875</v>
      </c>
      <c r="J109" t="s">
        <v>14</v>
      </c>
      <c r="K109" t="str">
        <f>IF(Dispute[[#This Row],[Status]] = "In Progress", IF(Dispute[[#This Row],[Time_Line]]&gt;5, "Overdue", "Within SLA"), "Closed")</f>
        <v>Closed</v>
      </c>
    </row>
    <row r="110" spans="1:11" x14ac:dyDescent="0.25">
      <c r="A110" t="s">
        <v>130</v>
      </c>
      <c r="B110" s="1">
        <v>45710</v>
      </c>
      <c r="C110" s="1">
        <v>45712</v>
      </c>
      <c r="D110" s="4">
        <f>IF(OR(Dispute[[#This Row],[Resolution_Date]]="",E110 = 0), "", E110-C110)</f>
        <v>5</v>
      </c>
      <c r="E110" s="1">
        <v>45717</v>
      </c>
      <c r="F110" t="s">
        <v>15</v>
      </c>
      <c r="G110" t="s">
        <v>16</v>
      </c>
      <c r="H110" t="s">
        <v>30</v>
      </c>
      <c r="I110" s="2">
        <v>1166.6400146484375</v>
      </c>
      <c r="J110" t="s">
        <v>9</v>
      </c>
      <c r="K110" t="str">
        <f>IF(Dispute[[#This Row],[Status]] = "In Progress", IF(Dispute[[#This Row],[Time_Line]]&gt;5, "Overdue", "Within SLA"), "Closed")</f>
        <v>Closed</v>
      </c>
    </row>
    <row r="111" spans="1:11" x14ac:dyDescent="0.25">
      <c r="A111" t="s">
        <v>131</v>
      </c>
      <c r="B111" s="1">
        <v>45703</v>
      </c>
      <c r="C111" s="1">
        <v>45708</v>
      </c>
      <c r="D111" s="4">
        <f>IF(OR(Dispute[[#This Row],[Resolution_Date]]="",E111 = 0), "", E111-C111)</f>
        <v>5</v>
      </c>
      <c r="E111" s="1">
        <v>45713</v>
      </c>
      <c r="F111" t="s">
        <v>25</v>
      </c>
      <c r="G111" t="s">
        <v>11</v>
      </c>
      <c r="H111" t="s">
        <v>19</v>
      </c>
      <c r="I111" s="2">
        <v>514.19000244140625</v>
      </c>
      <c r="J111" t="s">
        <v>9</v>
      </c>
      <c r="K111" t="str">
        <f>IF(Dispute[[#This Row],[Status]] = "In Progress", IF(Dispute[[#This Row],[Time_Line]]&gt;5, "Overdue", "Within SLA"), "Closed")</f>
        <v>Closed</v>
      </c>
    </row>
    <row r="112" spans="1:11" x14ac:dyDescent="0.25">
      <c r="A112" t="s">
        <v>132</v>
      </c>
      <c r="B112" s="1">
        <v>45679</v>
      </c>
      <c r="C112" s="1">
        <v>45686</v>
      </c>
      <c r="D112" s="4" t="str">
        <f>IF(OR(Dispute[[#This Row],[Resolution_Date]]="",E112 = 0), "", E112-C112)</f>
        <v/>
      </c>
      <c r="F112" t="s">
        <v>15</v>
      </c>
      <c r="G112" t="s">
        <v>11</v>
      </c>
      <c r="H112" t="s">
        <v>12</v>
      </c>
      <c r="I112" s="2">
        <v>344.67999267578125</v>
      </c>
      <c r="J112" t="s">
        <v>46</v>
      </c>
      <c r="K112" t="str">
        <f>IF(Dispute[[#This Row],[Status]] = "In Progress", IF(Dispute[[#This Row],[Time_Line]]&gt;5, "Overdue", "Within SLA"), "Closed")</f>
        <v>Overdue</v>
      </c>
    </row>
    <row r="113" spans="1:11" x14ac:dyDescent="0.25">
      <c r="A113" t="s">
        <v>133</v>
      </c>
      <c r="B113" s="1">
        <v>45661</v>
      </c>
      <c r="C113" s="1">
        <v>45670</v>
      </c>
      <c r="D113" s="4">
        <f>IF(OR(Dispute[[#This Row],[Resolution_Date]]="",E113 = 0), "", E113-C113)</f>
        <v>2</v>
      </c>
      <c r="E113" s="1">
        <v>45672</v>
      </c>
      <c r="F113" t="s">
        <v>10</v>
      </c>
      <c r="G113" t="s">
        <v>16</v>
      </c>
      <c r="H113" t="s">
        <v>19</v>
      </c>
      <c r="I113" s="2">
        <v>570.57000732421875</v>
      </c>
      <c r="J113" t="s">
        <v>14</v>
      </c>
      <c r="K113" t="str">
        <f>IF(Dispute[[#This Row],[Status]] = "In Progress", IF(Dispute[[#This Row],[Time_Line]]&gt;5, "Overdue", "Within SLA"), "Closed")</f>
        <v>Closed</v>
      </c>
    </row>
    <row r="114" spans="1:11" x14ac:dyDescent="0.25">
      <c r="A114" t="s">
        <v>134</v>
      </c>
      <c r="B114" s="1">
        <v>45712</v>
      </c>
      <c r="C114" s="1">
        <v>45722</v>
      </c>
      <c r="D114" s="4">
        <f>IF(OR(Dispute[[#This Row],[Resolution_Date]]="",E114 = 0), "", E114-C114)</f>
        <v>7</v>
      </c>
      <c r="E114" s="1">
        <v>45729</v>
      </c>
      <c r="F114" t="s">
        <v>15</v>
      </c>
      <c r="G114" t="s">
        <v>16</v>
      </c>
      <c r="H114" t="s">
        <v>30</v>
      </c>
      <c r="I114" s="2">
        <v>1089.6400146484375</v>
      </c>
      <c r="J114" t="s">
        <v>14</v>
      </c>
      <c r="K114" t="str">
        <f>IF(Dispute[[#This Row],[Status]] = "In Progress", IF(Dispute[[#This Row],[Time_Line]]&gt;5, "Overdue", "Within SLA"), "Closed")</f>
        <v>Closed</v>
      </c>
    </row>
    <row r="115" spans="1:11" x14ac:dyDescent="0.25">
      <c r="A115" t="s">
        <v>135</v>
      </c>
      <c r="B115" s="1">
        <v>45667</v>
      </c>
      <c r="C115" s="1">
        <v>45675</v>
      </c>
      <c r="D115" s="4">
        <f>IF(OR(Dispute[[#This Row],[Resolution_Date]]="",E115 = 0), "", E115-C115)</f>
        <v>7</v>
      </c>
      <c r="E115" s="1">
        <v>45682</v>
      </c>
      <c r="F115" t="s">
        <v>10</v>
      </c>
      <c r="G115" t="s">
        <v>16</v>
      </c>
      <c r="H115" t="s">
        <v>19</v>
      </c>
      <c r="I115" s="2">
        <v>900.3800048828125</v>
      </c>
      <c r="J115" t="s">
        <v>14</v>
      </c>
      <c r="K115" t="str">
        <f>IF(Dispute[[#This Row],[Status]] = "In Progress", IF(Dispute[[#This Row],[Time_Line]]&gt;5, "Overdue", "Within SLA"), "Closed")</f>
        <v>Closed</v>
      </c>
    </row>
    <row r="116" spans="1:11" x14ac:dyDescent="0.25">
      <c r="A116" t="s">
        <v>136</v>
      </c>
      <c r="B116" s="1">
        <v>45691</v>
      </c>
      <c r="C116" s="1">
        <v>45693</v>
      </c>
      <c r="D116" s="4">
        <f>IF(OR(Dispute[[#This Row],[Resolution_Date]]="",E116 = 0), "", E116-C116)</f>
        <v>4</v>
      </c>
      <c r="E116" s="1">
        <v>45697</v>
      </c>
      <c r="F116" t="s">
        <v>10</v>
      </c>
      <c r="G116" t="s">
        <v>18</v>
      </c>
      <c r="H116" t="s">
        <v>12</v>
      </c>
      <c r="I116" s="2">
        <v>618.77001953125</v>
      </c>
      <c r="J116" t="s">
        <v>14</v>
      </c>
      <c r="K116" t="str">
        <f>IF(Dispute[[#This Row],[Status]] = "In Progress", IF(Dispute[[#This Row],[Time_Line]]&gt;5, "Overdue", "Within SLA"), "Closed")</f>
        <v>Closed</v>
      </c>
    </row>
    <row r="117" spans="1:11" x14ac:dyDescent="0.25">
      <c r="A117" t="s">
        <v>137</v>
      </c>
      <c r="B117" s="1">
        <v>45717</v>
      </c>
      <c r="C117" s="1">
        <v>45722</v>
      </c>
      <c r="D117" s="4">
        <f>IF(OR(Dispute[[#This Row],[Resolution_Date]]="",E117 = 0), "", E117-C117)</f>
        <v>3</v>
      </c>
      <c r="E117" s="1">
        <v>45725</v>
      </c>
      <c r="F117" t="s">
        <v>10</v>
      </c>
      <c r="G117" t="s">
        <v>22</v>
      </c>
      <c r="H117" t="s">
        <v>12</v>
      </c>
      <c r="I117" s="2">
        <v>986.510009765625</v>
      </c>
      <c r="J117" t="s">
        <v>9</v>
      </c>
      <c r="K117" t="str">
        <f>IF(Dispute[[#This Row],[Status]] = "In Progress", IF(Dispute[[#This Row],[Time_Line]]&gt;5, "Overdue", "Within SLA"), "Closed")</f>
        <v>Closed</v>
      </c>
    </row>
    <row r="118" spans="1:11" x14ac:dyDescent="0.25">
      <c r="A118" t="s">
        <v>138</v>
      </c>
      <c r="B118" s="1">
        <v>45704</v>
      </c>
      <c r="C118" s="1">
        <v>45714</v>
      </c>
      <c r="D118" s="4" t="str">
        <f>IF(OR(Dispute[[#This Row],[Resolution_Date]]="",E118 = 0), "", E118-C118)</f>
        <v/>
      </c>
      <c r="F118" t="s">
        <v>10</v>
      </c>
      <c r="G118" t="s">
        <v>11</v>
      </c>
      <c r="H118" t="s">
        <v>19</v>
      </c>
      <c r="I118" s="2">
        <v>78.160003662109375</v>
      </c>
      <c r="J118" t="s">
        <v>46</v>
      </c>
      <c r="K118" t="str">
        <f>IF(Dispute[[#This Row],[Status]] = "In Progress", IF(Dispute[[#This Row],[Time_Line]]&gt;5, "Overdue", "Within SLA"), "Closed")</f>
        <v>Overdue</v>
      </c>
    </row>
    <row r="119" spans="1:11" x14ac:dyDescent="0.25">
      <c r="A119" t="s">
        <v>139</v>
      </c>
      <c r="B119" s="1">
        <v>45712</v>
      </c>
      <c r="C119" s="1">
        <v>45722</v>
      </c>
      <c r="D119" s="4">
        <f>IF(OR(Dispute[[#This Row],[Resolution_Date]]="",E119 = 0), "", E119-C119)</f>
        <v>4</v>
      </c>
      <c r="E119" s="1">
        <v>45726</v>
      </c>
      <c r="F119" t="s">
        <v>25</v>
      </c>
      <c r="G119" t="s">
        <v>11</v>
      </c>
      <c r="H119" t="s">
        <v>23</v>
      </c>
      <c r="I119" s="2">
        <v>740.8599853515625</v>
      </c>
      <c r="J119" t="s">
        <v>9</v>
      </c>
      <c r="K119" t="str">
        <f>IF(Dispute[[#This Row],[Status]] = "In Progress", IF(Dispute[[#This Row],[Time_Line]]&gt;5, "Overdue", "Within SLA"), "Closed")</f>
        <v>Closed</v>
      </c>
    </row>
    <row r="120" spans="1:11" x14ac:dyDescent="0.25">
      <c r="A120" t="s">
        <v>140</v>
      </c>
      <c r="B120" s="1">
        <v>45693</v>
      </c>
      <c r="C120" s="1">
        <v>45702</v>
      </c>
      <c r="D120" s="4" t="str">
        <f>IF(OR(Dispute[[#This Row],[Resolution_Date]]="",E120 = 0), "", E120-C120)</f>
        <v/>
      </c>
      <c r="F120" t="s">
        <v>25</v>
      </c>
      <c r="G120" t="s">
        <v>22</v>
      </c>
      <c r="H120" t="s">
        <v>19</v>
      </c>
      <c r="I120" s="2">
        <v>357.92999267578125</v>
      </c>
      <c r="J120" t="s">
        <v>46</v>
      </c>
      <c r="K120" t="str">
        <f>IF(Dispute[[#This Row],[Status]] = "In Progress", IF(Dispute[[#This Row],[Time_Line]]&gt;5, "Overdue", "Within SLA"), "Closed")</f>
        <v>Overdue</v>
      </c>
    </row>
    <row r="121" spans="1:11" x14ac:dyDescent="0.25">
      <c r="A121" t="s">
        <v>141</v>
      </c>
      <c r="B121" s="1">
        <v>45708</v>
      </c>
      <c r="C121" s="1">
        <v>45712</v>
      </c>
      <c r="D121" s="4">
        <f>IF(OR(Dispute[[#This Row],[Resolution_Date]]="",E121 = 0), "", E121-C121)</f>
        <v>3</v>
      </c>
      <c r="E121" s="1">
        <v>45715</v>
      </c>
      <c r="F121" t="s">
        <v>10</v>
      </c>
      <c r="G121" t="s">
        <v>22</v>
      </c>
      <c r="H121" t="s">
        <v>19</v>
      </c>
      <c r="I121" s="2">
        <v>717.6400146484375</v>
      </c>
      <c r="J121" t="s">
        <v>14</v>
      </c>
      <c r="K121" t="str">
        <f>IF(Dispute[[#This Row],[Status]] = "In Progress", IF(Dispute[[#This Row],[Time_Line]]&gt;5, "Overdue", "Within SLA"), "Closed")</f>
        <v>Closed</v>
      </c>
    </row>
    <row r="122" spans="1:11" x14ac:dyDescent="0.25">
      <c r="A122" t="s">
        <v>142</v>
      </c>
      <c r="B122" s="1">
        <v>45697</v>
      </c>
      <c r="C122" s="1">
        <v>45703</v>
      </c>
      <c r="D122" s="4" t="str">
        <f>IF(OR(Dispute[[#This Row],[Resolution_Date]]="",E122 = 0), "", E122-C122)</f>
        <v/>
      </c>
      <c r="F122" t="s">
        <v>10</v>
      </c>
      <c r="G122" t="s">
        <v>11</v>
      </c>
      <c r="H122" t="s">
        <v>23</v>
      </c>
      <c r="I122" s="2">
        <v>394.02999877929688</v>
      </c>
      <c r="J122" t="s">
        <v>46</v>
      </c>
      <c r="K122" t="str">
        <f>IF(Dispute[[#This Row],[Status]] = "In Progress", IF(Dispute[[#This Row],[Time_Line]]&gt;5, "Overdue", "Within SLA"), "Closed")</f>
        <v>Overdue</v>
      </c>
    </row>
    <row r="123" spans="1:11" x14ac:dyDescent="0.25">
      <c r="A123" t="s">
        <v>143</v>
      </c>
      <c r="B123" s="1">
        <v>45684</v>
      </c>
      <c r="C123" s="1">
        <v>45689</v>
      </c>
      <c r="D123" s="4">
        <f>IF(OR(Dispute[[#This Row],[Resolution_Date]]="",E123 = 0), "", E123-C123)</f>
        <v>1</v>
      </c>
      <c r="E123" s="1">
        <v>45690</v>
      </c>
      <c r="F123" t="s">
        <v>25</v>
      </c>
      <c r="G123" t="s">
        <v>11</v>
      </c>
      <c r="H123" t="s">
        <v>12</v>
      </c>
      <c r="I123" s="2">
        <v>59.049999237060547</v>
      </c>
      <c r="J123" t="s">
        <v>14</v>
      </c>
      <c r="K123" t="str">
        <f>IF(Dispute[[#This Row],[Status]] = "In Progress", IF(Dispute[[#This Row],[Time_Line]]&gt;5, "Overdue", "Within SLA"), "Closed")</f>
        <v>Closed</v>
      </c>
    </row>
    <row r="124" spans="1:11" x14ac:dyDescent="0.25">
      <c r="A124" t="s">
        <v>144</v>
      </c>
      <c r="B124" s="1">
        <v>45666</v>
      </c>
      <c r="C124" s="1">
        <v>45673</v>
      </c>
      <c r="D124" s="4">
        <f>IF(OR(Dispute[[#This Row],[Resolution_Date]]="",E124 = 0), "", E124-C124)</f>
        <v>6</v>
      </c>
      <c r="E124" s="1">
        <v>45679</v>
      </c>
      <c r="F124" t="s">
        <v>25</v>
      </c>
      <c r="G124" t="s">
        <v>22</v>
      </c>
      <c r="H124" t="s">
        <v>30</v>
      </c>
      <c r="I124" s="2">
        <v>743.09002685546875</v>
      </c>
      <c r="J124" t="s">
        <v>9</v>
      </c>
      <c r="K124" t="str">
        <f>IF(Dispute[[#This Row],[Status]] = "In Progress", IF(Dispute[[#This Row],[Time_Line]]&gt;5, "Overdue", "Within SLA"), "Closed")</f>
        <v>Closed</v>
      </c>
    </row>
    <row r="125" spans="1:11" x14ac:dyDescent="0.25">
      <c r="A125" t="s">
        <v>145</v>
      </c>
      <c r="B125" s="1">
        <v>45664</v>
      </c>
      <c r="C125" s="1">
        <v>45674</v>
      </c>
      <c r="D125" s="4">
        <f>IF(OR(Dispute[[#This Row],[Resolution_Date]]="",E125 = 0), "", E125-C125)</f>
        <v>3</v>
      </c>
      <c r="E125" s="1">
        <v>45677</v>
      </c>
      <c r="F125" t="s">
        <v>10</v>
      </c>
      <c r="G125" t="s">
        <v>18</v>
      </c>
      <c r="H125" t="s">
        <v>19</v>
      </c>
      <c r="I125" s="2">
        <v>1132.4599609375</v>
      </c>
      <c r="J125" t="s">
        <v>9</v>
      </c>
      <c r="K125" t="str">
        <f>IF(Dispute[[#This Row],[Status]] = "In Progress", IF(Dispute[[#This Row],[Time_Line]]&gt;5, "Overdue", "Within SLA"), "Closed")</f>
        <v>Closed</v>
      </c>
    </row>
    <row r="126" spans="1:11" x14ac:dyDescent="0.25">
      <c r="A126" t="s">
        <v>146</v>
      </c>
      <c r="B126" s="1">
        <v>45673</v>
      </c>
      <c r="C126" s="1">
        <v>45679</v>
      </c>
      <c r="D126" s="4" t="str">
        <f>IF(OR(Dispute[[#This Row],[Resolution_Date]]="",E126 = 0), "", E126-C126)</f>
        <v/>
      </c>
      <c r="F126" t="s">
        <v>10</v>
      </c>
      <c r="G126" t="s">
        <v>18</v>
      </c>
      <c r="H126" t="s">
        <v>30</v>
      </c>
      <c r="I126" s="2">
        <v>466.92999267578125</v>
      </c>
      <c r="J126" t="s">
        <v>46</v>
      </c>
      <c r="K126" t="str">
        <f>IF(Dispute[[#This Row],[Status]] = "In Progress", IF(Dispute[[#This Row],[Time_Line]]&gt;5, "Overdue", "Within SLA"), "Closed")</f>
        <v>Overdue</v>
      </c>
    </row>
    <row r="127" spans="1:11" x14ac:dyDescent="0.25">
      <c r="A127" t="s">
        <v>147</v>
      </c>
      <c r="B127" s="1">
        <v>45666</v>
      </c>
      <c r="C127" s="1">
        <v>45674</v>
      </c>
      <c r="D127" s="4">
        <f>IF(OR(Dispute[[#This Row],[Resolution_Date]]="",E127 = 0), "", E127-C127)</f>
        <v>2</v>
      </c>
      <c r="E127" s="1">
        <v>45676</v>
      </c>
      <c r="F127" t="s">
        <v>15</v>
      </c>
      <c r="G127" t="s">
        <v>22</v>
      </c>
      <c r="H127" t="s">
        <v>23</v>
      </c>
      <c r="I127" s="2">
        <v>537.8900146484375</v>
      </c>
      <c r="J127" t="s">
        <v>9</v>
      </c>
      <c r="K127" t="str">
        <f>IF(Dispute[[#This Row],[Status]] = "In Progress", IF(Dispute[[#This Row],[Time_Line]]&gt;5, "Overdue", "Within SLA"), "Closed")</f>
        <v>Closed</v>
      </c>
    </row>
    <row r="128" spans="1:11" x14ac:dyDescent="0.25">
      <c r="A128" t="s">
        <v>148</v>
      </c>
      <c r="B128" s="1">
        <v>45707</v>
      </c>
      <c r="C128" s="1">
        <v>45713</v>
      </c>
      <c r="D128" s="4">
        <f>IF(OR(Dispute[[#This Row],[Resolution_Date]]="",E128 = 0), "", E128-C128)</f>
        <v>3</v>
      </c>
      <c r="E128" s="1">
        <v>45716</v>
      </c>
      <c r="F128" t="s">
        <v>15</v>
      </c>
      <c r="G128" t="s">
        <v>22</v>
      </c>
      <c r="H128" t="s">
        <v>30</v>
      </c>
      <c r="I128" s="2">
        <v>437.82998657226563</v>
      </c>
      <c r="J128" t="s">
        <v>9</v>
      </c>
      <c r="K128" t="str">
        <f>IF(Dispute[[#This Row],[Status]] = "In Progress", IF(Dispute[[#This Row],[Time_Line]]&gt;5, "Overdue", "Within SLA"), "Closed")</f>
        <v>Closed</v>
      </c>
    </row>
    <row r="129" spans="1:11" x14ac:dyDescent="0.25">
      <c r="A129" t="s">
        <v>149</v>
      </c>
      <c r="B129" s="1">
        <v>45695</v>
      </c>
      <c r="C129" s="1">
        <v>45697</v>
      </c>
      <c r="D129" s="4">
        <f>IF(OR(Dispute[[#This Row],[Resolution_Date]]="",E129 = 0), "", E129-C129)</f>
        <v>3</v>
      </c>
      <c r="E129" s="1">
        <v>45700</v>
      </c>
      <c r="F129" t="s">
        <v>25</v>
      </c>
      <c r="G129" t="s">
        <v>18</v>
      </c>
      <c r="H129" t="s">
        <v>23</v>
      </c>
      <c r="I129" s="2">
        <v>912.15997314453125</v>
      </c>
      <c r="J129" t="s">
        <v>14</v>
      </c>
      <c r="K129" t="str">
        <f>IF(Dispute[[#This Row],[Status]] = "In Progress", IF(Dispute[[#This Row],[Time_Line]]&gt;5, "Overdue", "Within SLA"), "Closed")</f>
        <v>Closed</v>
      </c>
    </row>
    <row r="130" spans="1:11" x14ac:dyDescent="0.25">
      <c r="A130" t="s">
        <v>150</v>
      </c>
      <c r="B130" s="1">
        <v>45708</v>
      </c>
      <c r="C130" s="1">
        <v>45711</v>
      </c>
      <c r="D130" s="4">
        <f>IF(OR(Dispute[[#This Row],[Resolution_Date]]="",E130 = 0), "", E130-C130)</f>
        <v>4</v>
      </c>
      <c r="E130" s="1">
        <v>45715</v>
      </c>
      <c r="F130" t="s">
        <v>15</v>
      </c>
      <c r="G130" t="s">
        <v>16</v>
      </c>
      <c r="H130" t="s">
        <v>23</v>
      </c>
      <c r="I130" s="2">
        <v>951.54998779296875</v>
      </c>
      <c r="J130" t="s">
        <v>9</v>
      </c>
      <c r="K130" t="str">
        <f>IF(Dispute[[#This Row],[Status]] = "In Progress", IF(Dispute[[#This Row],[Time_Line]]&gt;5, "Overdue", "Within SLA"), "Closed")</f>
        <v>Closed</v>
      </c>
    </row>
    <row r="131" spans="1:11" x14ac:dyDescent="0.25">
      <c r="A131" t="s">
        <v>151</v>
      </c>
      <c r="B131" s="1">
        <v>45660</v>
      </c>
      <c r="C131" s="1">
        <v>45670</v>
      </c>
      <c r="D131" s="4">
        <f>IF(OR(Dispute[[#This Row],[Resolution_Date]]="",E131 = 0), "", E131-C131)</f>
        <v>5</v>
      </c>
      <c r="E131" s="1">
        <v>45675</v>
      </c>
      <c r="F131" t="s">
        <v>25</v>
      </c>
      <c r="G131" t="s">
        <v>11</v>
      </c>
      <c r="H131" t="s">
        <v>12</v>
      </c>
      <c r="I131" s="2">
        <v>848.91998291015625</v>
      </c>
      <c r="J131" t="s">
        <v>14</v>
      </c>
      <c r="K131" t="str">
        <f>IF(Dispute[[#This Row],[Status]] = "In Progress", IF(Dispute[[#This Row],[Time_Line]]&gt;5, "Overdue", "Within SLA"), "Closed")</f>
        <v>Closed</v>
      </c>
    </row>
    <row r="132" spans="1:11" x14ac:dyDescent="0.25">
      <c r="A132" t="s">
        <v>152</v>
      </c>
      <c r="B132" s="1">
        <v>45711</v>
      </c>
      <c r="C132" s="1">
        <v>45713</v>
      </c>
      <c r="D132" s="4" t="str">
        <f>IF(OR(Dispute[[#This Row],[Resolution_Date]]="",E132 = 0), "", E132-C132)</f>
        <v/>
      </c>
      <c r="F132" t="s">
        <v>25</v>
      </c>
      <c r="G132" t="s">
        <v>11</v>
      </c>
      <c r="H132" t="s">
        <v>19</v>
      </c>
      <c r="I132" s="2">
        <v>1097.2099609375</v>
      </c>
      <c r="J132" t="s">
        <v>46</v>
      </c>
      <c r="K132" t="str">
        <f>IF(Dispute[[#This Row],[Status]] = "In Progress", IF(Dispute[[#This Row],[Time_Line]]&gt;5, "Overdue", "Within SLA"), "Closed")</f>
        <v>Overdue</v>
      </c>
    </row>
    <row r="133" spans="1:11" x14ac:dyDescent="0.25">
      <c r="A133" t="s">
        <v>153</v>
      </c>
      <c r="B133" s="1">
        <v>45672</v>
      </c>
      <c r="C133" s="1">
        <v>45680</v>
      </c>
      <c r="D133" s="4">
        <f>IF(OR(Dispute[[#This Row],[Resolution_Date]]="",E133 = 0), "", E133-C133)</f>
        <v>1</v>
      </c>
      <c r="E133" s="1">
        <v>45681</v>
      </c>
      <c r="F133" t="s">
        <v>10</v>
      </c>
      <c r="G133" t="s">
        <v>11</v>
      </c>
      <c r="H133" t="s">
        <v>23</v>
      </c>
      <c r="I133" s="2">
        <v>763.70001220703125</v>
      </c>
      <c r="J133" t="s">
        <v>14</v>
      </c>
      <c r="K133" t="str">
        <f>IF(Dispute[[#This Row],[Status]] = "In Progress", IF(Dispute[[#This Row],[Time_Line]]&gt;5, "Overdue", "Within SLA"), "Closed")</f>
        <v>Closed</v>
      </c>
    </row>
    <row r="134" spans="1:11" x14ac:dyDescent="0.25">
      <c r="A134" t="s">
        <v>154</v>
      </c>
      <c r="B134" s="1">
        <v>45662</v>
      </c>
      <c r="C134" s="1">
        <v>45669</v>
      </c>
      <c r="D134" s="4">
        <f>IF(OR(Dispute[[#This Row],[Resolution_Date]]="",E134 = 0), "", E134-C134)</f>
        <v>7</v>
      </c>
      <c r="E134" s="1">
        <v>45676</v>
      </c>
      <c r="F134" t="s">
        <v>25</v>
      </c>
      <c r="G134" t="s">
        <v>22</v>
      </c>
      <c r="H134" t="s">
        <v>23</v>
      </c>
      <c r="I134" s="2">
        <v>390.489990234375</v>
      </c>
      <c r="J134" t="s">
        <v>9</v>
      </c>
      <c r="K134" t="str">
        <f>IF(Dispute[[#This Row],[Status]] = "In Progress", IF(Dispute[[#This Row],[Time_Line]]&gt;5, "Overdue", "Within SLA"), "Closed")</f>
        <v>Closed</v>
      </c>
    </row>
    <row r="135" spans="1:11" x14ac:dyDescent="0.25">
      <c r="A135" t="s">
        <v>155</v>
      </c>
      <c r="B135" s="1">
        <v>45663</v>
      </c>
      <c r="C135" s="1">
        <v>45664</v>
      </c>
      <c r="D135" s="4">
        <f>IF(OR(Dispute[[#This Row],[Resolution_Date]]="",E135 = 0), "", E135-C135)</f>
        <v>6</v>
      </c>
      <c r="E135" s="1">
        <v>45670</v>
      </c>
      <c r="F135" t="s">
        <v>15</v>
      </c>
      <c r="G135" t="s">
        <v>18</v>
      </c>
      <c r="H135" t="s">
        <v>12</v>
      </c>
      <c r="I135" s="2">
        <v>508.3800048828125</v>
      </c>
      <c r="J135" t="s">
        <v>9</v>
      </c>
      <c r="K135" t="str">
        <f>IF(Dispute[[#This Row],[Status]] = "In Progress", IF(Dispute[[#This Row],[Time_Line]]&gt;5, "Overdue", "Within SLA"), "Closed")</f>
        <v>Closed</v>
      </c>
    </row>
    <row r="136" spans="1:11" x14ac:dyDescent="0.25">
      <c r="A136" t="s">
        <v>156</v>
      </c>
      <c r="B136" s="1">
        <v>45700</v>
      </c>
      <c r="C136" s="1">
        <v>45704</v>
      </c>
      <c r="D136" s="4">
        <f>IF(OR(Dispute[[#This Row],[Resolution_Date]]="",E136 = 0), "", E136-C136)</f>
        <v>2</v>
      </c>
      <c r="E136" s="1">
        <v>45706</v>
      </c>
      <c r="F136" t="s">
        <v>25</v>
      </c>
      <c r="G136" t="s">
        <v>16</v>
      </c>
      <c r="H136" t="s">
        <v>12</v>
      </c>
      <c r="I136" s="2">
        <v>413.82000732421875</v>
      </c>
      <c r="J136" t="s">
        <v>9</v>
      </c>
      <c r="K136" t="str">
        <f>IF(Dispute[[#This Row],[Status]] = "In Progress", IF(Dispute[[#This Row],[Time_Line]]&gt;5, "Overdue", "Within SLA"), "Closed")</f>
        <v>Closed</v>
      </c>
    </row>
    <row r="137" spans="1:11" x14ac:dyDescent="0.25">
      <c r="A137" t="s">
        <v>157</v>
      </c>
      <c r="B137" s="1">
        <v>45683</v>
      </c>
      <c r="C137" s="1">
        <v>45693</v>
      </c>
      <c r="D137" s="4">
        <f>IF(OR(Dispute[[#This Row],[Resolution_Date]]="",E137 = 0), "", E137-C137)</f>
        <v>4</v>
      </c>
      <c r="E137" s="1">
        <v>45697</v>
      </c>
      <c r="F137" t="s">
        <v>15</v>
      </c>
      <c r="G137" t="s">
        <v>11</v>
      </c>
      <c r="H137" t="s">
        <v>12</v>
      </c>
      <c r="I137" s="2">
        <v>627.91998291015625</v>
      </c>
      <c r="J137" t="s">
        <v>14</v>
      </c>
      <c r="K137" t="str">
        <f>IF(Dispute[[#This Row],[Status]] = "In Progress", IF(Dispute[[#This Row],[Time_Line]]&gt;5, "Overdue", "Within SLA"), "Closed")</f>
        <v>Closed</v>
      </c>
    </row>
    <row r="138" spans="1:11" x14ac:dyDescent="0.25">
      <c r="A138" t="s">
        <v>158</v>
      </c>
      <c r="B138" s="1">
        <v>45705</v>
      </c>
      <c r="C138" s="1">
        <v>45712</v>
      </c>
      <c r="D138" s="4">
        <f>IF(OR(Dispute[[#This Row],[Resolution_Date]]="",E138 = 0), "", E138-C138)</f>
        <v>7</v>
      </c>
      <c r="E138" s="1">
        <v>45719</v>
      </c>
      <c r="F138" t="s">
        <v>25</v>
      </c>
      <c r="G138" t="s">
        <v>11</v>
      </c>
      <c r="H138" t="s">
        <v>12</v>
      </c>
      <c r="I138" s="2">
        <v>1087.5899658203125</v>
      </c>
      <c r="J138" t="s">
        <v>9</v>
      </c>
      <c r="K138" t="str">
        <f>IF(Dispute[[#This Row],[Status]] = "In Progress", IF(Dispute[[#This Row],[Time_Line]]&gt;5, "Overdue", "Within SLA"), "Closed")</f>
        <v>Closed</v>
      </c>
    </row>
    <row r="139" spans="1:11" x14ac:dyDescent="0.25">
      <c r="A139" t="s">
        <v>159</v>
      </c>
      <c r="B139" s="1">
        <v>45664</v>
      </c>
      <c r="C139" s="1">
        <v>45674</v>
      </c>
      <c r="D139" s="4">
        <f>IF(OR(Dispute[[#This Row],[Resolution_Date]]="",E139 = 0), "", E139-C139)</f>
        <v>7</v>
      </c>
      <c r="E139" s="1">
        <v>45681</v>
      </c>
      <c r="F139" t="s">
        <v>25</v>
      </c>
      <c r="G139" t="s">
        <v>22</v>
      </c>
      <c r="H139" t="s">
        <v>12</v>
      </c>
      <c r="I139" s="2">
        <v>198.91000366210938</v>
      </c>
      <c r="J139" t="s">
        <v>14</v>
      </c>
      <c r="K139" t="str">
        <f>IF(Dispute[[#This Row],[Status]] = "In Progress", IF(Dispute[[#This Row],[Time_Line]]&gt;5, "Overdue", "Within SLA"), "Closed")</f>
        <v>Closed</v>
      </c>
    </row>
    <row r="140" spans="1:11" x14ac:dyDescent="0.25">
      <c r="A140" t="s">
        <v>160</v>
      </c>
      <c r="B140" s="1">
        <v>45705</v>
      </c>
      <c r="C140" s="1">
        <v>45710</v>
      </c>
      <c r="D140" s="4">
        <f>IF(OR(Dispute[[#This Row],[Resolution_Date]]="",E140 = 0), "", E140-C140)</f>
        <v>1</v>
      </c>
      <c r="E140" s="1">
        <v>45711</v>
      </c>
      <c r="F140" t="s">
        <v>10</v>
      </c>
      <c r="G140" t="s">
        <v>16</v>
      </c>
      <c r="H140" t="s">
        <v>23</v>
      </c>
      <c r="I140" s="2">
        <v>802.96002197265625</v>
      </c>
      <c r="J140" t="s">
        <v>9</v>
      </c>
      <c r="K140" t="str">
        <f>IF(Dispute[[#This Row],[Status]] = "In Progress", IF(Dispute[[#This Row],[Time_Line]]&gt;5, "Overdue", "Within SLA"), "Closed")</f>
        <v>Closed</v>
      </c>
    </row>
    <row r="141" spans="1:11" x14ac:dyDescent="0.25">
      <c r="A141" t="s">
        <v>161</v>
      </c>
      <c r="B141" s="1">
        <v>45715</v>
      </c>
      <c r="C141" s="1">
        <v>45717</v>
      </c>
      <c r="D141" s="4">
        <f>IF(OR(Dispute[[#This Row],[Resolution_Date]]="",E141 = 0), "", E141-C141)</f>
        <v>4</v>
      </c>
      <c r="E141" s="1">
        <v>45721</v>
      </c>
      <c r="F141" t="s">
        <v>25</v>
      </c>
      <c r="G141" t="s">
        <v>16</v>
      </c>
      <c r="H141" t="s">
        <v>30</v>
      </c>
      <c r="I141" s="2">
        <v>281.739990234375</v>
      </c>
      <c r="J141" t="s">
        <v>14</v>
      </c>
      <c r="K141" t="str">
        <f>IF(Dispute[[#This Row],[Status]] = "In Progress", IF(Dispute[[#This Row],[Time_Line]]&gt;5, "Overdue", "Within SLA"), "Closed")</f>
        <v>Closed</v>
      </c>
    </row>
    <row r="142" spans="1:11" x14ac:dyDescent="0.25">
      <c r="A142" t="s">
        <v>162</v>
      </c>
      <c r="B142" s="1">
        <v>45660</v>
      </c>
      <c r="C142" s="1">
        <v>45670</v>
      </c>
      <c r="D142" s="4">
        <f>IF(OR(Dispute[[#This Row],[Resolution_Date]]="",E142 = 0), "", E142-C142)</f>
        <v>5</v>
      </c>
      <c r="E142" s="1">
        <v>45675</v>
      </c>
      <c r="F142" t="s">
        <v>25</v>
      </c>
      <c r="G142" t="s">
        <v>16</v>
      </c>
      <c r="H142" t="s">
        <v>23</v>
      </c>
      <c r="I142" s="2">
        <v>1086.5400390625</v>
      </c>
      <c r="J142" t="s">
        <v>9</v>
      </c>
      <c r="K142" t="str">
        <f>IF(Dispute[[#This Row],[Status]] = "In Progress", IF(Dispute[[#This Row],[Time_Line]]&gt;5, "Overdue", "Within SLA"), "Closed")</f>
        <v>Closed</v>
      </c>
    </row>
    <row r="143" spans="1:11" x14ac:dyDescent="0.25">
      <c r="A143" t="s">
        <v>163</v>
      </c>
      <c r="B143" s="1">
        <v>45684</v>
      </c>
      <c r="C143" s="1">
        <v>45686</v>
      </c>
      <c r="D143" s="4">
        <f>IF(OR(Dispute[[#This Row],[Resolution_Date]]="",E143 = 0), "", E143-C143)</f>
        <v>6</v>
      </c>
      <c r="E143" s="1">
        <v>45692</v>
      </c>
      <c r="F143" t="s">
        <v>25</v>
      </c>
      <c r="G143" t="s">
        <v>18</v>
      </c>
      <c r="H143" t="s">
        <v>12</v>
      </c>
      <c r="I143" s="2">
        <v>1045.3399658203125</v>
      </c>
      <c r="J143" t="s">
        <v>14</v>
      </c>
      <c r="K143" t="str">
        <f>IF(Dispute[[#This Row],[Status]] = "In Progress", IF(Dispute[[#This Row],[Time_Line]]&gt;5, "Overdue", "Within SLA"), "Closed")</f>
        <v>Closed</v>
      </c>
    </row>
    <row r="144" spans="1:11" x14ac:dyDescent="0.25">
      <c r="A144" t="s">
        <v>164</v>
      </c>
      <c r="B144" s="1">
        <v>45682</v>
      </c>
      <c r="C144" s="1">
        <v>45688</v>
      </c>
      <c r="D144" s="4" t="str">
        <f>IF(OR(Dispute[[#This Row],[Resolution_Date]]="",E144 = 0), "", E144-C144)</f>
        <v/>
      </c>
      <c r="F144" t="s">
        <v>10</v>
      </c>
      <c r="G144" t="s">
        <v>18</v>
      </c>
      <c r="H144" t="s">
        <v>23</v>
      </c>
      <c r="I144" s="2">
        <v>401.6400146484375</v>
      </c>
      <c r="J144" t="s">
        <v>46</v>
      </c>
      <c r="K144" t="str">
        <f>IF(Dispute[[#This Row],[Status]] = "In Progress", IF(Dispute[[#This Row],[Time_Line]]&gt;5, "Overdue", "Within SLA"), "Closed")</f>
        <v>Overdue</v>
      </c>
    </row>
    <row r="145" spans="1:11" x14ac:dyDescent="0.25">
      <c r="A145" t="s">
        <v>165</v>
      </c>
      <c r="B145" s="1">
        <v>45694</v>
      </c>
      <c r="C145" s="1">
        <v>45698</v>
      </c>
      <c r="D145" s="4">
        <f>IF(OR(Dispute[[#This Row],[Resolution_Date]]="",E145 = 0), "", E145-C145)</f>
        <v>6</v>
      </c>
      <c r="E145" s="1">
        <v>45704</v>
      </c>
      <c r="F145" t="s">
        <v>25</v>
      </c>
      <c r="G145" t="s">
        <v>11</v>
      </c>
      <c r="H145" t="s">
        <v>23</v>
      </c>
      <c r="I145" s="2">
        <v>252.86000061035156</v>
      </c>
      <c r="J145" t="s">
        <v>14</v>
      </c>
      <c r="K145" t="str">
        <f>IF(Dispute[[#This Row],[Status]] = "In Progress", IF(Dispute[[#This Row],[Time_Line]]&gt;5, "Overdue", "Within SLA"), "Closed")</f>
        <v>Closed</v>
      </c>
    </row>
    <row r="146" spans="1:11" x14ac:dyDescent="0.25">
      <c r="A146" t="s">
        <v>166</v>
      </c>
      <c r="B146" s="1">
        <v>45716</v>
      </c>
      <c r="C146" s="1">
        <v>45718</v>
      </c>
      <c r="D146" s="4">
        <f>IF(OR(Dispute[[#This Row],[Resolution_Date]]="",E146 = 0), "", E146-C146)</f>
        <v>7</v>
      </c>
      <c r="E146" s="1">
        <v>45725</v>
      </c>
      <c r="F146" t="s">
        <v>25</v>
      </c>
      <c r="G146" t="s">
        <v>16</v>
      </c>
      <c r="H146" t="s">
        <v>12</v>
      </c>
      <c r="I146" s="2">
        <v>482.01998901367188</v>
      </c>
      <c r="J146" t="s">
        <v>9</v>
      </c>
      <c r="K146" t="str">
        <f>IF(Dispute[[#This Row],[Status]] = "In Progress", IF(Dispute[[#This Row],[Time_Line]]&gt;5, "Overdue", "Within SLA"), "Closed")</f>
        <v>Closed</v>
      </c>
    </row>
    <row r="147" spans="1:11" x14ac:dyDescent="0.25">
      <c r="A147" t="s">
        <v>167</v>
      </c>
      <c r="B147" s="1">
        <v>45667</v>
      </c>
      <c r="C147" s="1">
        <v>45673</v>
      </c>
      <c r="D147" s="4" t="str">
        <f>IF(OR(Dispute[[#This Row],[Resolution_Date]]="",E147 = 0), "", E147-C147)</f>
        <v/>
      </c>
      <c r="F147" t="s">
        <v>25</v>
      </c>
      <c r="G147" t="s">
        <v>16</v>
      </c>
      <c r="H147" t="s">
        <v>30</v>
      </c>
      <c r="I147" s="2">
        <v>573.44000244140625</v>
      </c>
      <c r="J147" t="s">
        <v>46</v>
      </c>
      <c r="K147" t="str">
        <f>IF(Dispute[[#This Row],[Status]] = "In Progress", IF(Dispute[[#This Row],[Time_Line]]&gt;5, "Overdue", "Within SLA"), "Closed")</f>
        <v>Overdue</v>
      </c>
    </row>
    <row r="148" spans="1:11" x14ac:dyDescent="0.25">
      <c r="A148" t="s">
        <v>168</v>
      </c>
      <c r="B148" s="1">
        <v>45691</v>
      </c>
      <c r="C148" s="1">
        <v>45694</v>
      </c>
      <c r="D148" s="4" t="str">
        <f>IF(OR(Dispute[[#This Row],[Resolution_Date]]="",E148 = 0), "", E148-C148)</f>
        <v/>
      </c>
      <c r="F148" t="s">
        <v>25</v>
      </c>
      <c r="G148" t="s">
        <v>16</v>
      </c>
      <c r="H148" t="s">
        <v>23</v>
      </c>
      <c r="I148" s="2">
        <v>1038.31005859375</v>
      </c>
      <c r="J148" t="s">
        <v>46</v>
      </c>
      <c r="K148" t="str">
        <f>IF(Dispute[[#This Row],[Status]] = "In Progress", IF(Dispute[[#This Row],[Time_Line]]&gt;5, "Overdue", "Within SLA"), "Closed")</f>
        <v>Overdue</v>
      </c>
    </row>
    <row r="149" spans="1:11" x14ac:dyDescent="0.25">
      <c r="A149" t="s">
        <v>169</v>
      </c>
      <c r="B149" s="1">
        <v>45662</v>
      </c>
      <c r="C149" s="1">
        <v>45670</v>
      </c>
      <c r="D149" s="4">
        <f>IF(OR(Dispute[[#This Row],[Resolution_Date]]="",E149 = 0), "", E149-C149)</f>
        <v>7</v>
      </c>
      <c r="E149" s="1">
        <v>45677</v>
      </c>
      <c r="F149" t="s">
        <v>15</v>
      </c>
      <c r="G149" t="s">
        <v>18</v>
      </c>
      <c r="H149" t="s">
        <v>12</v>
      </c>
      <c r="I149" s="2">
        <v>549.27001953125</v>
      </c>
      <c r="J149" t="s">
        <v>9</v>
      </c>
      <c r="K149" t="str">
        <f>IF(Dispute[[#This Row],[Status]] = "In Progress", IF(Dispute[[#This Row],[Time_Line]]&gt;5, "Overdue", "Within SLA"), "Closed")</f>
        <v>Closed</v>
      </c>
    </row>
    <row r="150" spans="1:11" x14ac:dyDescent="0.25">
      <c r="A150" t="s">
        <v>170</v>
      </c>
      <c r="B150" s="1">
        <v>45707</v>
      </c>
      <c r="C150" s="1">
        <v>45716</v>
      </c>
      <c r="D150" s="4" t="str">
        <f>IF(OR(Dispute[[#This Row],[Resolution_Date]]="",E150 = 0), "", E150-C150)</f>
        <v/>
      </c>
      <c r="F150" t="s">
        <v>15</v>
      </c>
      <c r="G150" t="s">
        <v>22</v>
      </c>
      <c r="H150" t="s">
        <v>12</v>
      </c>
      <c r="I150" s="2">
        <v>531.75</v>
      </c>
      <c r="J150" t="s">
        <v>46</v>
      </c>
      <c r="K150" t="str">
        <f>IF(Dispute[[#This Row],[Status]] = "In Progress", IF(Dispute[[#This Row],[Time_Line]]&gt;5, "Overdue", "Within SLA"), "Closed")</f>
        <v>Overdue</v>
      </c>
    </row>
    <row r="151" spans="1:11" x14ac:dyDescent="0.25">
      <c r="A151" t="s">
        <v>171</v>
      </c>
      <c r="B151" s="1">
        <v>45716</v>
      </c>
      <c r="C151" s="1">
        <v>45718</v>
      </c>
      <c r="D151" s="4">
        <f>IF(OR(Dispute[[#This Row],[Resolution_Date]]="",E151 = 0), "", E151-C151)</f>
        <v>5</v>
      </c>
      <c r="E151" s="1">
        <v>45723</v>
      </c>
      <c r="F151" t="s">
        <v>15</v>
      </c>
      <c r="G151" t="s">
        <v>16</v>
      </c>
      <c r="H151" t="s">
        <v>12</v>
      </c>
      <c r="I151" s="2">
        <v>222.53999328613281</v>
      </c>
      <c r="J151" t="s">
        <v>14</v>
      </c>
      <c r="K151" t="str">
        <f>IF(Dispute[[#This Row],[Status]] = "In Progress", IF(Dispute[[#This Row],[Time_Line]]&gt;5, "Overdue", "Within SLA"), "Closed")</f>
        <v>Closed</v>
      </c>
    </row>
    <row r="152" spans="1:11" x14ac:dyDescent="0.25">
      <c r="A152" t="s">
        <v>172</v>
      </c>
      <c r="B152" s="1">
        <v>45697</v>
      </c>
      <c r="C152" s="1">
        <v>45700</v>
      </c>
      <c r="D152" s="4">
        <f>IF(OR(Dispute[[#This Row],[Resolution_Date]]="",E152 = 0), "", E152-C152)</f>
        <v>6</v>
      </c>
      <c r="E152" s="1">
        <v>45706</v>
      </c>
      <c r="F152" t="s">
        <v>25</v>
      </c>
      <c r="G152" t="s">
        <v>22</v>
      </c>
      <c r="H152" t="s">
        <v>23</v>
      </c>
      <c r="I152" s="2">
        <v>822.989990234375</v>
      </c>
      <c r="J152" t="s">
        <v>9</v>
      </c>
      <c r="K152" t="str">
        <f>IF(Dispute[[#This Row],[Status]] = "In Progress", IF(Dispute[[#This Row],[Time_Line]]&gt;5, "Overdue", "Within SLA"), "Closed")</f>
        <v>Closed</v>
      </c>
    </row>
    <row r="153" spans="1:11" x14ac:dyDescent="0.25">
      <c r="A153" t="s">
        <v>173</v>
      </c>
      <c r="B153" s="1">
        <v>45676</v>
      </c>
      <c r="C153" s="1">
        <v>45677</v>
      </c>
      <c r="D153" s="4">
        <f>IF(OR(Dispute[[#This Row],[Resolution_Date]]="",E153 = 0), "", E153-C153)</f>
        <v>4</v>
      </c>
      <c r="E153" s="1">
        <v>45681</v>
      </c>
      <c r="F153" t="s">
        <v>10</v>
      </c>
      <c r="G153" t="s">
        <v>16</v>
      </c>
      <c r="H153" t="s">
        <v>23</v>
      </c>
      <c r="I153" s="2">
        <v>193</v>
      </c>
      <c r="J153" t="s">
        <v>14</v>
      </c>
      <c r="K153" t="str">
        <f>IF(Dispute[[#This Row],[Status]] = "In Progress", IF(Dispute[[#This Row],[Time_Line]]&gt;5, "Overdue", "Within SLA"), "Closed")</f>
        <v>Closed</v>
      </c>
    </row>
    <row r="154" spans="1:11" x14ac:dyDescent="0.25">
      <c r="A154" t="s">
        <v>174</v>
      </c>
      <c r="B154" s="1">
        <v>45700</v>
      </c>
      <c r="C154" s="1">
        <v>45709</v>
      </c>
      <c r="D154" s="4">
        <f>IF(OR(Dispute[[#This Row],[Resolution_Date]]="",E154 = 0), "", E154-C154)</f>
        <v>6</v>
      </c>
      <c r="E154" s="1">
        <v>45715</v>
      </c>
      <c r="F154" t="s">
        <v>15</v>
      </c>
      <c r="G154" t="s">
        <v>22</v>
      </c>
      <c r="H154" t="s">
        <v>19</v>
      </c>
      <c r="I154" s="2">
        <v>641.010009765625</v>
      </c>
      <c r="J154" t="s">
        <v>14</v>
      </c>
      <c r="K154" t="str">
        <f>IF(Dispute[[#This Row],[Status]] = "In Progress", IF(Dispute[[#This Row],[Time_Line]]&gt;5, "Overdue", "Within SLA"), "Closed")</f>
        <v>Closed</v>
      </c>
    </row>
    <row r="155" spans="1:11" x14ac:dyDescent="0.25">
      <c r="A155" t="s">
        <v>175</v>
      </c>
      <c r="B155" s="1">
        <v>45686</v>
      </c>
      <c r="C155" s="1">
        <v>45692</v>
      </c>
      <c r="D155" s="4">
        <f>IF(OR(Dispute[[#This Row],[Resolution_Date]]="",E155 = 0), "", E155-C155)</f>
        <v>3</v>
      </c>
      <c r="E155" s="1">
        <v>45695</v>
      </c>
      <c r="F155" t="s">
        <v>10</v>
      </c>
      <c r="G155" t="s">
        <v>18</v>
      </c>
      <c r="H155" t="s">
        <v>23</v>
      </c>
      <c r="I155" s="2">
        <v>207.33000183105469</v>
      </c>
      <c r="J155" t="s">
        <v>9</v>
      </c>
      <c r="K155" t="str">
        <f>IF(Dispute[[#This Row],[Status]] = "In Progress", IF(Dispute[[#This Row],[Time_Line]]&gt;5, "Overdue", "Within SLA"), "Closed")</f>
        <v>Closed</v>
      </c>
    </row>
    <row r="156" spans="1:11" x14ac:dyDescent="0.25">
      <c r="A156" t="s">
        <v>176</v>
      </c>
      <c r="B156" s="1">
        <v>45672</v>
      </c>
      <c r="C156" s="1">
        <v>45674</v>
      </c>
      <c r="D156" s="4">
        <f>IF(OR(Dispute[[#This Row],[Resolution_Date]]="",E156 = 0), "", E156-C156)</f>
        <v>7</v>
      </c>
      <c r="E156" s="1">
        <v>45681</v>
      </c>
      <c r="F156" t="s">
        <v>25</v>
      </c>
      <c r="G156" t="s">
        <v>22</v>
      </c>
      <c r="H156" t="s">
        <v>23</v>
      </c>
      <c r="I156" s="2">
        <v>846.44000244140625</v>
      </c>
      <c r="J156" t="s">
        <v>9</v>
      </c>
      <c r="K156" t="str">
        <f>IF(Dispute[[#This Row],[Status]] = "In Progress", IF(Dispute[[#This Row],[Time_Line]]&gt;5, "Overdue", "Within SLA"), "Closed")</f>
        <v>Closed</v>
      </c>
    </row>
    <row r="157" spans="1:11" x14ac:dyDescent="0.25">
      <c r="A157" t="s">
        <v>177</v>
      </c>
      <c r="B157" s="1">
        <v>45677</v>
      </c>
      <c r="C157" s="1">
        <v>45678</v>
      </c>
      <c r="D157" s="4">
        <f>IF(OR(Dispute[[#This Row],[Resolution_Date]]="",E157 = 0), "", E157-C157)</f>
        <v>2</v>
      </c>
      <c r="E157" s="1">
        <v>45680</v>
      </c>
      <c r="F157" t="s">
        <v>10</v>
      </c>
      <c r="G157" t="s">
        <v>18</v>
      </c>
      <c r="H157" t="s">
        <v>19</v>
      </c>
      <c r="I157" s="2">
        <v>564.489990234375</v>
      </c>
      <c r="J157" t="s">
        <v>14</v>
      </c>
      <c r="K157" t="str">
        <f>IF(Dispute[[#This Row],[Status]] = "In Progress", IF(Dispute[[#This Row],[Time_Line]]&gt;5, "Overdue", "Within SLA"), "Closed")</f>
        <v>Closed</v>
      </c>
    </row>
    <row r="158" spans="1:11" x14ac:dyDescent="0.25">
      <c r="A158" t="s">
        <v>178</v>
      </c>
      <c r="B158" s="1">
        <v>45701</v>
      </c>
      <c r="C158" s="1">
        <v>45704</v>
      </c>
      <c r="D158" s="4">
        <f>IF(OR(Dispute[[#This Row],[Resolution_Date]]="",E158 = 0), "", E158-C158)</f>
        <v>6</v>
      </c>
      <c r="E158" s="1">
        <v>45710</v>
      </c>
      <c r="F158" t="s">
        <v>25</v>
      </c>
      <c r="G158" t="s">
        <v>11</v>
      </c>
      <c r="H158" t="s">
        <v>23</v>
      </c>
      <c r="I158" s="2">
        <v>1209.510009765625</v>
      </c>
      <c r="J158" t="s">
        <v>9</v>
      </c>
      <c r="K158" t="str">
        <f>IF(Dispute[[#This Row],[Status]] = "In Progress", IF(Dispute[[#This Row],[Time_Line]]&gt;5, "Overdue", "Within SLA"), "Closed")</f>
        <v>Closed</v>
      </c>
    </row>
    <row r="159" spans="1:11" x14ac:dyDescent="0.25">
      <c r="A159" t="s">
        <v>179</v>
      </c>
      <c r="B159" s="1">
        <v>45658</v>
      </c>
      <c r="C159" s="1">
        <v>45662</v>
      </c>
      <c r="D159" s="4">
        <f>IF(OR(Dispute[[#This Row],[Resolution_Date]]="",E159 = 0), "", E159-C159)</f>
        <v>3</v>
      </c>
      <c r="E159" s="1">
        <v>45665</v>
      </c>
      <c r="F159" t="s">
        <v>25</v>
      </c>
      <c r="G159" t="s">
        <v>18</v>
      </c>
      <c r="H159" t="s">
        <v>19</v>
      </c>
      <c r="I159" s="2">
        <v>1124.3299560546875</v>
      </c>
      <c r="J159" t="s">
        <v>9</v>
      </c>
      <c r="K159" t="str">
        <f>IF(Dispute[[#This Row],[Status]] = "In Progress", IF(Dispute[[#This Row],[Time_Line]]&gt;5, "Overdue", "Within SLA"), "Closed")</f>
        <v>Closed</v>
      </c>
    </row>
    <row r="160" spans="1:11" x14ac:dyDescent="0.25">
      <c r="A160" t="s">
        <v>180</v>
      </c>
      <c r="B160" s="1">
        <v>45660</v>
      </c>
      <c r="C160" s="1">
        <v>45668</v>
      </c>
      <c r="D160" s="4" t="str">
        <f>IF(OR(Dispute[[#This Row],[Resolution_Date]]="",E160 = 0), "", E160-C160)</f>
        <v/>
      </c>
      <c r="F160" t="s">
        <v>15</v>
      </c>
      <c r="G160" t="s">
        <v>22</v>
      </c>
      <c r="H160" t="s">
        <v>12</v>
      </c>
      <c r="I160" s="2">
        <v>501.20999145507813</v>
      </c>
      <c r="J160" t="s">
        <v>46</v>
      </c>
      <c r="K160" t="str">
        <f>IF(Dispute[[#This Row],[Status]] = "In Progress", IF(Dispute[[#This Row],[Time_Line]]&gt;5, "Overdue", "Within SLA"), "Closed")</f>
        <v>Overdue</v>
      </c>
    </row>
    <row r="161" spans="1:11" x14ac:dyDescent="0.25">
      <c r="A161" t="s">
        <v>181</v>
      </c>
      <c r="B161" s="1">
        <v>45703</v>
      </c>
      <c r="C161" s="1">
        <v>45705</v>
      </c>
      <c r="D161" s="4">
        <f>IF(OR(Dispute[[#This Row],[Resolution_Date]]="",E161 = 0), "", E161-C161)</f>
        <v>3</v>
      </c>
      <c r="E161" s="1">
        <v>45708</v>
      </c>
      <c r="F161" t="s">
        <v>25</v>
      </c>
      <c r="G161" t="s">
        <v>22</v>
      </c>
      <c r="H161" t="s">
        <v>23</v>
      </c>
      <c r="I161" s="2">
        <v>1068.8499755859375</v>
      </c>
      <c r="J161" t="s">
        <v>9</v>
      </c>
      <c r="K161" t="str">
        <f>IF(Dispute[[#This Row],[Status]] = "In Progress", IF(Dispute[[#This Row],[Time_Line]]&gt;5, "Overdue", "Within SLA"), "Closed")</f>
        <v>Closed</v>
      </c>
    </row>
    <row r="162" spans="1:11" x14ac:dyDescent="0.25">
      <c r="A162" t="s">
        <v>182</v>
      </c>
      <c r="B162" s="1">
        <v>45667</v>
      </c>
      <c r="C162" s="1">
        <v>45672</v>
      </c>
      <c r="D162" s="4">
        <f>IF(OR(Dispute[[#This Row],[Resolution_Date]]="",E162 = 0), "", E162-C162)</f>
        <v>4</v>
      </c>
      <c r="E162" s="1">
        <v>45676</v>
      </c>
      <c r="F162" t="s">
        <v>15</v>
      </c>
      <c r="G162" t="s">
        <v>16</v>
      </c>
      <c r="H162" t="s">
        <v>30</v>
      </c>
      <c r="I162" s="2">
        <v>261.64999389648438</v>
      </c>
      <c r="J162" t="s">
        <v>14</v>
      </c>
      <c r="K162" t="str">
        <f>IF(Dispute[[#This Row],[Status]] = "In Progress", IF(Dispute[[#This Row],[Time_Line]]&gt;5, "Overdue", "Within SLA"), "Closed")</f>
        <v>Closed</v>
      </c>
    </row>
    <row r="163" spans="1:11" x14ac:dyDescent="0.25">
      <c r="A163" t="s">
        <v>183</v>
      </c>
      <c r="B163" s="1">
        <v>45667</v>
      </c>
      <c r="C163" s="1">
        <v>45674</v>
      </c>
      <c r="D163" s="4">
        <f>IF(OR(Dispute[[#This Row],[Resolution_Date]]="",E163 = 0), "", E163-C163)</f>
        <v>6</v>
      </c>
      <c r="E163" s="1">
        <v>45680</v>
      </c>
      <c r="F163" t="s">
        <v>15</v>
      </c>
      <c r="G163" t="s">
        <v>18</v>
      </c>
      <c r="H163" t="s">
        <v>12</v>
      </c>
      <c r="I163" s="2">
        <v>300.67001342773438</v>
      </c>
      <c r="J163" t="s">
        <v>14</v>
      </c>
      <c r="K163" t="str">
        <f>IF(Dispute[[#This Row],[Status]] = "In Progress", IF(Dispute[[#This Row],[Time_Line]]&gt;5, "Overdue", "Within SLA"), "Closed")</f>
        <v>Closed</v>
      </c>
    </row>
    <row r="164" spans="1:11" x14ac:dyDescent="0.25">
      <c r="A164" t="s">
        <v>184</v>
      </c>
      <c r="B164" s="1">
        <v>45699</v>
      </c>
      <c r="C164" s="1">
        <v>45706</v>
      </c>
      <c r="D164" s="4" t="str">
        <f>IF(OR(Dispute[[#This Row],[Resolution_Date]]="",E164 = 0), "", E164-C164)</f>
        <v/>
      </c>
      <c r="F164" t="s">
        <v>10</v>
      </c>
      <c r="G164" t="s">
        <v>16</v>
      </c>
      <c r="H164" t="s">
        <v>30</v>
      </c>
      <c r="I164" s="2">
        <v>96.849998474121094</v>
      </c>
      <c r="J164" t="s">
        <v>46</v>
      </c>
      <c r="K164" t="str">
        <f>IF(Dispute[[#This Row],[Status]] = "In Progress", IF(Dispute[[#This Row],[Time_Line]]&gt;5, "Overdue", "Within SLA"), "Closed")</f>
        <v>Overdue</v>
      </c>
    </row>
    <row r="165" spans="1:11" x14ac:dyDescent="0.25">
      <c r="A165" t="s">
        <v>185</v>
      </c>
      <c r="B165" s="1">
        <v>45685</v>
      </c>
      <c r="C165" s="1">
        <v>45686</v>
      </c>
      <c r="D165" s="4">
        <f>IF(OR(Dispute[[#This Row],[Resolution_Date]]="",E165 = 0), "", E165-C165)</f>
        <v>6</v>
      </c>
      <c r="E165" s="1">
        <v>45692</v>
      </c>
      <c r="F165" t="s">
        <v>25</v>
      </c>
      <c r="G165" t="s">
        <v>22</v>
      </c>
      <c r="H165" t="s">
        <v>30</v>
      </c>
      <c r="I165" s="2">
        <v>1051.300048828125</v>
      </c>
      <c r="J165" t="s">
        <v>9</v>
      </c>
      <c r="K165" t="str">
        <f>IF(Dispute[[#This Row],[Status]] = "In Progress", IF(Dispute[[#This Row],[Time_Line]]&gt;5, "Overdue", "Within SLA"), "Closed")</f>
        <v>Closed</v>
      </c>
    </row>
    <row r="166" spans="1:11" x14ac:dyDescent="0.25">
      <c r="A166" t="s">
        <v>186</v>
      </c>
      <c r="B166" s="1">
        <v>45676</v>
      </c>
      <c r="C166" s="1">
        <v>45679</v>
      </c>
      <c r="D166" s="4">
        <f>IF(OR(Dispute[[#This Row],[Resolution_Date]]="",E166 = 0), "", E166-C166)</f>
        <v>3</v>
      </c>
      <c r="E166" s="1">
        <v>45682</v>
      </c>
      <c r="F166" t="s">
        <v>15</v>
      </c>
      <c r="G166" t="s">
        <v>22</v>
      </c>
      <c r="H166" t="s">
        <v>23</v>
      </c>
      <c r="I166" s="2">
        <v>841.030029296875</v>
      </c>
      <c r="J166" t="s">
        <v>14</v>
      </c>
      <c r="K166" t="str">
        <f>IF(Dispute[[#This Row],[Status]] = "In Progress", IF(Dispute[[#This Row],[Time_Line]]&gt;5, "Overdue", "Within SLA"), "Closed")</f>
        <v>Closed</v>
      </c>
    </row>
    <row r="167" spans="1:11" x14ac:dyDescent="0.25">
      <c r="A167" t="s">
        <v>187</v>
      </c>
      <c r="B167" s="1">
        <v>45714</v>
      </c>
      <c r="C167" s="1">
        <v>45722</v>
      </c>
      <c r="D167" s="4">
        <f>IF(OR(Dispute[[#This Row],[Resolution_Date]]="",E167 = 0), "", E167-C167)</f>
        <v>2</v>
      </c>
      <c r="E167" s="1">
        <v>45724</v>
      </c>
      <c r="F167" t="s">
        <v>10</v>
      </c>
      <c r="G167" t="s">
        <v>18</v>
      </c>
      <c r="H167" t="s">
        <v>12</v>
      </c>
      <c r="I167" s="2">
        <v>1157.25</v>
      </c>
      <c r="J167" t="s">
        <v>9</v>
      </c>
      <c r="K167" t="str">
        <f>IF(Dispute[[#This Row],[Status]] = "In Progress", IF(Dispute[[#This Row],[Time_Line]]&gt;5, "Overdue", "Within SLA"), "Closed")</f>
        <v>Closed</v>
      </c>
    </row>
    <row r="168" spans="1:11" x14ac:dyDescent="0.25">
      <c r="A168" t="s">
        <v>188</v>
      </c>
      <c r="B168" s="1">
        <v>45708</v>
      </c>
      <c r="C168" s="1">
        <v>45718</v>
      </c>
      <c r="D168" s="4" t="str">
        <f>IF(OR(Dispute[[#This Row],[Resolution_Date]]="",E168 = 0), "", E168-C168)</f>
        <v/>
      </c>
      <c r="F168" t="s">
        <v>10</v>
      </c>
      <c r="G168" t="s">
        <v>11</v>
      </c>
      <c r="H168" t="s">
        <v>12</v>
      </c>
      <c r="I168" s="2">
        <v>890.79998779296875</v>
      </c>
      <c r="J168" t="s">
        <v>46</v>
      </c>
      <c r="K168" t="str">
        <f>IF(Dispute[[#This Row],[Status]] = "In Progress", IF(Dispute[[#This Row],[Time_Line]]&gt;5, "Overdue", "Within SLA"), "Closed")</f>
        <v>Overdue</v>
      </c>
    </row>
    <row r="169" spans="1:11" x14ac:dyDescent="0.25">
      <c r="A169" t="s">
        <v>189</v>
      </c>
      <c r="B169" s="1">
        <v>45714</v>
      </c>
      <c r="C169" s="1">
        <v>45719</v>
      </c>
      <c r="D169" s="4">
        <f>IF(OR(Dispute[[#This Row],[Resolution_Date]]="",E169 = 0), "", E169-C169)</f>
        <v>2</v>
      </c>
      <c r="E169" s="1">
        <v>45721</v>
      </c>
      <c r="F169" t="s">
        <v>15</v>
      </c>
      <c r="G169" t="s">
        <v>22</v>
      </c>
      <c r="H169" t="s">
        <v>23</v>
      </c>
      <c r="I169" s="2">
        <v>431.260009765625</v>
      </c>
      <c r="J169" t="s">
        <v>9</v>
      </c>
      <c r="K169" t="str">
        <f>IF(Dispute[[#This Row],[Status]] = "In Progress", IF(Dispute[[#This Row],[Time_Line]]&gt;5, "Overdue", "Within SLA"), "Closed")</f>
        <v>Closed</v>
      </c>
    </row>
    <row r="170" spans="1:11" x14ac:dyDescent="0.25">
      <c r="A170" t="s">
        <v>190</v>
      </c>
      <c r="B170" s="1">
        <v>45701</v>
      </c>
      <c r="C170" s="1">
        <v>45702</v>
      </c>
      <c r="D170" s="4">
        <f>IF(OR(Dispute[[#This Row],[Resolution_Date]]="",E170 = 0), "", E170-C170)</f>
        <v>1</v>
      </c>
      <c r="E170" s="1">
        <v>45703</v>
      </c>
      <c r="F170" t="s">
        <v>25</v>
      </c>
      <c r="G170" t="s">
        <v>16</v>
      </c>
      <c r="H170" t="s">
        <v>12</v>
      </c>
      <c r="I170" s="2">
        <v>973.71002197265625</v>
      </c>
      <c r="J170" t="s">
        <v>14</v>
      </c>
      <c r="K170" t="str">
        <f>IF(Dispute[[#This Row],[Status]] = "In Progress", IF(Dispute[[#This Row],[Time_Line]]&gt;5, "Overdue", "Within SLA"), "Closed")</f>
        <v>Closed</v>
      </c>
    </row>
    <row r="171" spans="1:11" x14ac:dyDescent="0.25">
      <c r="A171" t="s">
        <v>191</v>
      </c>
      <c r="B171" s="1">
        <v>45686</v>
      </c>
      <c r="C171" s="1">
        <v>45693</v>
      </c>
      <c r="D171" s="4">
        <f>IF(OR(Dispute[[#This Row],[Resolution_Date]]="",E171 = 0), "", E171-C171)</f>
        <v>1</v>
      </c>
      <c r="E171" s="1">
        <v>45694</v>
      </c>
      <c r="F171" t="s">
        <v>25</v>
      </c>
      <c r="G171" t="s">
        <v>18</v>
      </c>
      <c r="H171" t="s">
        <v>19</v>
      </c>
      <c r="I171" s="2">
        <v>784.92999267578125</v>
      </c>
      <c r="J171" t="s">
        <v>9</v>
      </c>
      <c r="K171" t="str">
        <f>IF(Dispute[[#This Row],[Status]] = "In Progress", IF(Dispute[[#This Row],[Time_Line]]&gt;5, "Overdue", "Within SLA"), "Closed")</f>
        <v>Closed</v>
      </c>
    </row>
    <row r="172" spans="1:11" x14ac:dyDescent="0.25">
      <c r="A172" t="s">
        <v>192</v>
      </c>
      <c r="B172" s="1">
        <v>45683</v>
      </c>
      <c r="C172" s="1">
        <v>45692</v>
      </c>
      <c r="D172" s="4">
        <f>IF(OR(Dispute[[#This Row],[Resolution_Date]]="",E172 = 0), "", E172-C172)</f>
        <v>4</v>
      </c>
      <c r="E172" s="1">
        <v>45696</v>
      </c>
      <c r="F172" t="s">
        <v>10</v>
      </c>
      <c r="G172" t="s">
        <v>16</v>
      </c>
      <c r="H172" t="s">
        <v>23</v>
      </c>
      <c r="I172" s="2">
        <v>674.41998291015625</v>
      </c>
      <c r="J172" t="s">
        <v>14</v>
      </c>
      <c r="K172" t="str">
        <f>IF(Dispute[[#This Row],[Status]] = "In Progress", IF(Dispute[[#This Row],[Time_Line]]&gt;5, "Overdue", "Within SLA"), "Closed")</f>
        <v>Closed</v>
      </c>
    </row>
    <row r="173" spans="1:11" x14ac:dyDescent="0.25">
      <c r="A173" t="s">
        <v>193</v>
      </c>
      <c r="B173" s="1">
        <v>45661</v>
      </c>
      <c r="C173" s="1">
        <v>45668</v>
      </c>
      <c r="D173" s="4" t="str">
        <f>IF(OR(Dispute[[#This Row],[Resolution_Date]]="",E173 = 0), "", E173-C173)</f>
        <v/>
      </c>
      <c r="F173" t="s">
        <v>15</v>
      </c>
      <c r="G173" t="s">
        <v>18</v>
      </c>
      <c r="H173" t="s">
        <v>12</v>
      </c>
      <c r="I173" s="2">
        <v>734.530029296875</v>
      </c>
      <c r="J173" t="s">
        <v>46</v>
      </c>
      <c r="K173" t="str">
        <f>IF(Dispute[[#This Row],[Status]] = "In Progress", IF(Dispute[[#This Row],[Time_Line]]&gt;5, "Overdue", "Within SLA"), "Closed")</f>
        <v>Overdue</v>
      </c>
    </row>
    <row r="174" spans="1:11" x14ac:dyDescent="0.25">
      <c r="A174" t="s">
        <v>194</v>
      </c>
      <c r="B174" s="1">
        <v>45703</v>
      </c>
      <c r="C174" s="1">
        <v>45706</v>
      </c>
      <c r="D174" s="4">
        <f>IF(OR(Dispute[[#This Row],[Resolution_Date]]="",E174 = 0), "", E174-C174)</f>
        <v>6</v>
      </c>
      <c r="E174" s="1">
        <v>45712</v>
      </c>
      <c r="F174" t="s">
        <v>10</v>
      </c>
      <c r="G174" t="s">
        <v>22</v>
      </c>
      <c r="H174" t="s">
        <v>23</v>
      </c>
      <c r="I174" s="2">
        <v>1078.199951171875</v>
      </c>
      <c r="J174" t="s">
        <v>9</v>
      </c>
      <c r="K174" t="str">
        <f>IF(Dispute[[#This Row],[Status]] = "In Progress", IF(Dispute[[#This Row],[Time_Line]]&gt;5, "Overdue", "Within SLA"), "Closed")</f>
        <v>Closed</v>
      </c>
    </row>
    <row r="175" spans="1:11" x14ac:dyDescent="0.25">
      <c r="A175" t="s">
        <v>195</v>
      </c>
      <c r="B175" s="1">
        <v>45687</v>
      </c>
      <c r="C175" s="1">
        <v>45697</v>
      </c>
      <c r="D175" s="4" t="str">
        <f>IF(OR(Dispute[[#This Row],[Resolution_Date]]="",E175 = 0), "", E175-C175)</f>
        <v/>
      </c>
      <c r="F175" t="s">
        <v>10</v>
      </c>
      <c r="G175" t="s">
        <v>16</v>
      </c>
      <c r="H175" t="s">
        <v>19</v>
      </c>
      <c r="I175" s="2">
        <v>261.45001220703125</v>
      </c>
      <c r="J175" t="s">
        <v>46</v>
      </c>
      <c r="K175" t="str">
        <f>IF(Dispute[[#This Row],[Status]] = "In Progress", IF(Dispute[[#This Row],[Time_Line]]&gt;5, "Overdue", "Within SLA"), "Closed")</f>
        <v>Overdue</v>
      </c>
    </row>
    <row r="176" spans="1:11" x14ac:dyDescent="0.25">
      <c r="A176" t="s">
        <v>196</v>
      </c>
      <c r="B176" s="1">
        <v>45684</v>
      </c>
      <c r="C176" s="1">
        <v>45691</v>
      </c>
      <c r="D176" s="4">
        <f>IF(OR(Dispute[[#This Row],[Resolution_Date]]="",E176 = 0), "", E176-C176)</f>
        <v>7</v>
      </c>
      <c r="E176" s="1">
        <v>45698</v>
      </c>
      <c r="F176" t="s">
        <v>15</v>
      </c>
      <c r="G176" t="s">
        <v>11</v>
      </c>
      <c r="H176" t="s">
        <v>12</v>
      </c>
      <c r="I176" s="2">
        <v>80.480003356933594</v>
      </c>
      <c r="J176" t="s">
        <v>9</v>
      </c>
      <c r="K176" t="str">
        <f>IF(Dispute[[#This Row],[Status]] = "In Progress", IF(Dispute[[#This Row],[Time_Line]]&gt;5, "Overdue", "Within SLA"), "Closed")</f>
        <v>Closed</v>
      </c>
    </row>
    <row r="177" spans="1:11" x14ac:dyDescent="0.25">
      <c r="A177" t="s">
        <v>197</v>
      </c>
      <c r="B177" s="1">
        <v>45687</v>
      </c>
      <c r="C177" s="1">
        <v>45692</v>
      </c>
      <c r="D177" s="4" t="str">
        <f>IF(OR(Dispute[[#This Row],[Resolution_Date]]="",E177 = 0), "", E177-C177)</f>
        <v/>
      </c>
      <c r="F177" t="s">
        <v>25</v>
      </c>
      <c r="G177" t="s">
        <v>18</v>
      </c>
      <c r="H177" t="s">
        <v>23</v>
      </c>
      <c r="I177" s="2">
        <v>1170.3800048828125</v>
      </c>
      <c r="J177" t="s">
        <v>46</v>
      </c>
      <c r="K177" t="str">
        <f>IF(Dispute[[#This Row],[Status]] = "In Progress", IF(Dispute[[#This Row],[Time_Line]]&gt;5, "Overdue", "Within SLA"), "Closed")</f>
        <v>Overdue</v>
      </c>
    </row>
    <row r="178" spans="1:11" x14ac:dyDescent="0.25">
      <c r="A178" t="s">
        <v>198</v>
      </c>
      <c r="B178" s="1">
        <v>45717</v>
      </c>
      <c r="C178" s="1">
        <v>45723</v>
      </c>
      <c r="D178" s="4" t="str">
        <f>IF(OR(Dispute[[#This Row],[Resolution_Date]]="",E178 = 0), "", E178-C178)</f>
        <v/>
      </c>
      <c r="F178" t="s">
        <v>15</v>
      </c>
      <c r="G178" t="s">
        <v>22</v>
      </c>
      <c r="H178" t="s">
        <v>19</v>
      </c>
      <c r="I178" s="2">
        <v>695.8900146484375</v>
      </c>
      <c r="J178" t="s">
        <v>46</v>
      </c>
      <c r="K178" t="str">
        <f>IF(Dispute[[#This Row],[Status]] = "In Progress", IF(Dispute[[#This Row],[Time_Line]]&gt;5, "Overdue", "Within SLA"), "Closed")</f>
        <v>Overdue</v>
      </c>
    </row>
    <row r="179" spans="1:11" x14ac:dyDescent="0.25">
      <c r="A179" t="s">
        <v>199</v>
      </c>
      <c r="B179" s="1">
        <v>45667</v>
      </c>
      <c r="C179" s="1">
        <v>45674</v>
      </c>
      <c r="D179" s="4">
        <f>IF(OR(Dispute[[#This Row],[Resolution_Date]]="",E179 = 0), "", E179-C179)</f>
        <v>5</v>
      </c>
      <c r="E179" s="1">
        <v>45679</v>
      </c>
      <c r="F179" t="s">
        <v>15</v>
      </c>
      <c r="G179" t="s">
        <v>16</v>
      </c>
      <c r="H179" t="s">
        <v>19</v>
      </c>
      <c r="I179" s="2">
        <v>766</v>
      </c>
      <c r="J179" t="s">
        <v>14</v>
      </c>
      <c r="K179" t="str">
        <f>IF(Dispute[[#This Row],[Status]] = "In Progress", IF(Dispute[[#This Row],[Time_Line]]&gt;5, "Overdue", "Within SLA"), "Closed")</f>
        <v>Closed</v>
      </c>
    </row>
    <row r="180" spans="1:11" x14ac:dyDescent="0.25">
      <c r="A180" t="s">
        <v>200</v>
      </c>
      <c r="B180" s="1">
        <v>45666</v>
      </c>
      <c r="C180" s="1">
        <v>45674</v>
      </c>
      <c r="D180" s="4">
        <f>IF(OR(Dispute[[#This Row],[Resolution_Date]]="",E180 = 0), "", E180-C180)</f>
        <v>7</v>
      </c>
      <c r="E180" s="1">
        <v>45681</v>
      </c>
      <c r="F180" t="s">
        <v>15</v>
      </c>
      <c r="G180" t="s">
        <v>18</v>
      </c>
      <c r="H180" t="s">
        <v>19</v>
      </c>
      <c r="I180" s="2">
        <v>724.33001708984375</v>
      </c>
      <c r="J180" t="s">
        <v>14</v>
      </c>
      <c r="K180" t="str">
        <f>IF(Dispute[[#This Row],[Status]] = "In Progress", IF(Dispute[[#This Row],[Time_Line]]&gt;5, "Overdue", "Within SLA"), "Closed")</f>
        <v>Closed</v>
      </c>
    </row>
    <row r="181" spans="1:11" x14ac:dyDescent="0.25">
      <c r="A181" t="s">
        <v>201</v>
      </c>
      <c r="B181" s="1">
        <v>45662</v>
      </c>
      <c r="C181" s="1">
        <v>45664</v>
      </c>
      <c r="D181" s="4">
        <f>IF(OR(Dispute[[#This Row],[Resolution_Date]]="",E181 = 0), "", E181-C181)</f>
        <v>2</v>
      </c>
      <c r="E181" s="1">
        <v>45666</v>
      </c>
      <c r="F181" t="s">
        <v>15</v>
      </c>
      <c r="G181" t="s">
        <v>11</v>
      </c>
      <c r="H181" t="s">
        <v>12</v>
      </c>
      <c r="I181" s="2">
        <v>271.19000244140625</v>
      </c>
      <c r="J181" t="s">
        <v>14</v>
      </c>
      <c r="K181" t="str">
        <f>IF(Dispute[[#This Row],[Status]] = "In Progress", IF(Dispute[[#This Row],[Time_Line]]&gt;5, "Overdue", "Within SLA"), "Closed")</f>
        <v>Closed</v>
      </c>
    </row>
    <row r="182" spans="1:11" x14ac:dyDescent="0.25">
      <c r="A182" t="s">
        <v>202</v>
      </c>
      <c r="B182" s="1">
        <v>45676</v>
      </c>
      <c r="C182" s="1">
        <v>45677</v>
      </c>
      <c r="D182" s="4">
        <f>IF(OR(Dispute[[#This Row],[Resolution_Date]]="",E182 = 0), "", E182-C182)</f>
        <v>3</v>
      </c>
      <c r="E182" s="1">
        <v>45680</v>
      </c>
      <c r="F182" t="s">
        <v>15</v>
      </c>
      <c r="G182" t="s">
        <v>16</v>
      </c>
      <c r="H182" t="s">
        <v>30</v>
      </c>
      <c r="I182" s="2">
        <v>91.680000305175781</v>
      </c>
      <c r="J182" t="s">
        <v>14</v>
      </c>
      <c r="K182" t="str">
        <f>IF(Dispute[[#This Row],[Status]] = "In Progress", IF(Dispute[[#This Row],[Time_Line]]&gt;5, "Overdue", "Within SLA"), "Closed")</f>
        <v>Closed</v>
      </c>
    </row>
    <row r="183" spans="1:11" x14ac:dyDescent="0.25">
      <c r="A183" t="s">
        <v>203</v>
      </c>
      <c r="B183" s="1">
        <v>45678</v>
      </c>
      <c r="C183" s="1">
        <v>45682</v>
      </c>
      <c r="D183" s="4">
        <f>IF(OR(Dispute[[#This Row],[Resolution_Date]]="",E183 = 0), "", E183-C183)</f>
        <v>2</v>
      </c>
      <c r="E183" s="1">
        <v>45684</v>
      </c>
      <c r="F183" t="s">
        <v>15</v>
      </c>
      <c r="G183" t="s">
        <v>18</v>
      </c>
      <c r="H183" t="s">
        <v>12</v>
      </c>
      <c r="I183" s="2">
        <v>861.71002197265625</v>
      </c>
      <c r="J183" t="s">
        <v>14</v>
      </c>
      <c r="K183" t="str">
        <f>IF(Dispute[[#This Row],[Status]] = "In Progress", IF(Dispute[[#This Row],[Time_Line]]&gt;5, "Overdue", "Within SLA"), "Closed")</f>
        <v>Closed</v>
      </c>
    </row>
    <row r="184" spans="1:11" x14ac:dyDescent="0.25">
      <c r="A184" t="s">
        <v>204</v>
      </c>
      <c r="B184" s="1">
        <v>45714</v>
      </c>
      <c r="C184" s="1">
        <v>45719</v>
      </c>
      <c r="D184" s="4">
        <f>IF(OR(Dispute[[#This Row],[Resolution_Date]]="",E184 = 0), "", E184-C184)</f>
        <v>6</v>
      </c>
      <c r="E184" s="1">
        <v>45725</v>
      </c>
      <c r="F184" t="s">
        <v>25</v>
      </c>
      <c r="G184" t="s">
        <v>22</v>
      </c>
      <c r="H184" t="s">
        <v>23</v>
      </c>
      <c r="I184" s="2">
        <v>454.19000244140625</v>
      </c>
      <c r="J184" t="s">
        <v>9</v>
      </c>
      <c r="K184" t="str">
        <f>IF(Dispute[[#This Row],[Status]] = "In Progress", IF(Dispute[[#This Row],[Time_Line]]&gt;5, "Overdue", "Within SLA"), "Closed")</f>
        <v>Closed</v>
      </c>
    </row>
    <row r="185" spans="1:11" x14ac:dyDescent="0.25">
      <c r="A185" t="s">
        <v>205</v>
      </c>
      <c r="B185" s="1">
        <v>45704</v>
      </c>
      <c r="C185" s="1">
        <v>45707</v>
      </c>
      <c r="D185" s="4">
        <f>IF(OR(Dispute[[#This Row],[Resolution_Date]]="",E185 = 0), "", E185-C185)</f>
        <v>2</v>
      </c>
      <c r="E185" s="1">
        <v>45709</v>
      </c>
      <c r="F185" t="s">
        <v>10</v>
      </c>
      <c r="G185" t="s">
        <v>22</v>
      </c>
      <c r="H185" t="s">
        <v>12</v>
      </c>
      <c r="I185" s="2">
        <v>578.53997802734375</v>
      </c>
      <c r="J185" t="s">
        <v>9</v>
      </c>
      <c r="K185" t="str">
        <f>IF(Dispute[[#This Row],[Status]] = "In Progress", IF(Dispute[[#This Row],[Time_Line]]&gt;5, "Overdue", "Within SLA"), "Closed")</f>
        <v>Closed</v>
      </c>
    </row>
    <row r="186" spans="1:11" x14ac:dyDescent="0.25">
      <c r="A186" t="s">
        <v>206</v>
      </c>
      <c r="B186" s="1">
        <v>45677</v>
      </c>
      <c r="C186" s="1">
        <v>45686</v>
      </c>
      <c r="D186" s="4">
        <f>IF(OR(Dispute[[#This Row],[Resolution_Date]]="",E186 = 0), "", E186-C186)</f>
        <v>3</v>
      </c>
      <c r="E186" s="1">
        <v>45689</v>
      </c>
      <c r="F186" t="s">
        <v>25</v>
      </c>
      <c r="G186" t="s">
        <v>16</v>
      </c>
      <c r="H186" t="s">
        <v>19</v>
      </c>
      <c r="I186" s="2">
        <v>694.33001708984375</v>
      </c>
      <c r="J186" t="s">
        <v>14</v>
      </c>
      <c r="K186" t="str">
        <f>IF(Dispute[[#This Row],[Status]] = "In Progress", IF(Dispute[[#This Row],[Time_Line]]&gt;5, "Overdue", "Within SLA"), "Closed")</f>
        <v>Closed</v>
      </c>
    </row>
    <row r="187" spans="1:11" x14ac:dyDescent="0.25">
      <c r="A187" t="s">
        <v>207</v>
      </c>
      <c r="B187" s="1">
        <v>45667</v>
      </c>
      <c r="C187" s="1">
        <v>45669</v>
      </c>
      <c r="D187" s="4">
        <f>IF(OR(Dispute[[#This Row],[Resolution_Date]]="",E187 = 0), "", E187-C187)</f>
        <v>1</v>
      </c>
      <c r="E187" s="1">
        <v>45670</v>
      </c>
      <c r="F187" t="s">
        <v>10</v>
      </c>
      <c r="G187" t="s">
        <v>16</v>
      </c>
      <c r="H187" t="s">
        <v>12</v>
      </c>
      <c r="I187" s="2">
        <v>1154.97998046875</v>
      </c>
      <c r="J187" t="s">
        <v>14</v>
      </c>
      <c r="K187" t="str">
        <f>IF(Dispute[[#This Row],[Status]] = "In Progress", IF(Dispute[[#This Row],[Time_Line]]&gt;5, "Overdue", "Within SLA"), "Closed")</f>
        <v>Closed</v>
      </c>
    </row>
    <row r="188" spans="1:11" x14ac:dyDescent="0.25">
      <c r="A188" t="s">
        <v>208</v>
      </c>
      <c r="B188" s="1">
        <v>45681</v>
      </c>
      <c r="C188" s="1">
        <v>45690</v>
      </c>
      <c r="D188" s="4">
        <f>IF(OR(Dispute[[#This Row],[Resolution_Date]]="",E188 = 0), "", E188-C188)</f>
        <v>4</v>
      </c>
      <c r="E188" s="1">
        <v>45694</v>
      </c>
      <c r="F188" t="s">
        <v>10</v>
      </c>
      <c r="G188" t="s">
        <v>22</v>
      </c>
      <c r="H188" t="s">
        <v>19</v>
      </c>
      <c r="I188" s="2">
        <v>179.22999572753906</v>
      </c>
      <c r="J188" t="s">
        <v>14</v>
      </c>
      <c r="K188" t="str">
        <f>IF(Dispute[[#This Row],[Status]] = "In Progress", IF(Dispute[[#This Row],[Time_Line]]&gt;5, "Overdue", "Within SLA"), "Closed")</f>
        <v>Closed</v>
      </c>
    </row>
    <row r="189" spans="1:11" x14ac:dyDescent="0.25">
      <c r="A189" t="s">
        <v>209</v>
      </c>
      <c r="B189" s="1">
        <v>45698</v>
      </c>
      <c r="C189" s="1">
        <v>45700</v>
      </c>
      <c r="D189" s="4" t="str">
        <f>IF(OR(Dispute[[#This Row],[Resolution_Date]]="",E189 = 0), "", E189-C189)</f>
        <v/>
      </c>
      <c r="F189" t="s">
        <v>25</v>
      </c>
      <c r="G189" t="s">
        <v>22</v>
      </c>
      <c r="H189" t="s">
        <v>19</v>
      </c>
      <c r="I189" s="2">
        <v>829.96002197265625</v>
      </c>
      <c r="J189" t="s">
        <v>46</v>
      </c>
      <c r="K189" t="str">
        <f>IF(Dispute[[#This Row],[Status]] = "In Progress", IF(Dispute[[#This Row],[Time_Line]]&gt;5, "Overdue", "Within SLA"), "Closed")</f>
        <v>Overdue</v>
      </c>
    </row>
    <row r="190" spans="1:11" x14ac:dyDescent="0.25">
      <c r="A190" t="s">
        <v>210</v>
      </c>
      <c r="B190" s="1">
        <v>45690</v>
      </c>
      <c r="C190" s="1">
        <v>45693</v>
      </c>
      <c r="D190" s="4">
        <f>IF(OR(Dispute[[#This Row],[Resolution_Date]]="",E190 = 0), "", E190-C190)</f>
        <v>4</v>
      </c>
      <c r="E190" s="1">
        <v>45697</v>
      </c>
      <c r="F190" t="s">
        <v>15</v>
      </c>
      <c r="G190" t="s">
        <v>16</v>
      </c>
      <c r="H190" t="s">
        <v>19</v>
      </c>
      <c r="I190" s="2">
        <v>447.10000610351563</v>
      </c>
      <c r="J190" t="s">
        <v>9</v>
      </c>
      <c r="K190" t="str">
        <f>IF(Dispute[[#This Row],[Status]] = "In Progress", IF(Dispute[[#This Row],[Time_Line]]&gt;5, "Overdue", "Within SLA"), "Closed")</f>
        <v>Closed</v>
      </c>
    </row>
    <row r="191" spans="1:11" x14ac:dyDescent="0.25">
      <c r="A191" t="s">
        <v>211</v>
      </c>
      <c r="B191" s="1">
        <v>45716</v>
      </c>
      <c r="C191" s="1">
        <v>45719</v>
      </c>
      <c r="D191" s="4">
        <f>IF(OR(Dispute[[#This Row],[Resolution_Date]]="",E191 = 0), "", E191-C191)</f>
        <v>2</v>
      </c>
      <c r="E191" s="1">
        <v>45721</v>
      </c>
      <c r="F191" t="s">
        <v>15</v>
      </c>
      <c r="G191" t="s">
        <v>16</v>
      </c>
      <c r="H191" t="s">
        <v>19</v>
      </c>
      <c r="I191" s="2">
        <v>713.78997802734375</v>
      </c>
      <c r="J191" t="s">
        <v>14</v>
      </c>
      <c r="K191" t="str">
        <f>IF(Dispute[[#This Row],[Status]] = "In Progress", IF(Dispute[[#This Row],[Time_Line]]&gt;5, "Overdue", "Within SLA"), "Closed")</f>
        <v>Closed</v>
      </c>
    </row>
    <row r="192" spans="1:11" x14ac:dyDescent="0.25">
      <c r="A192" t="s">
        <v>212</v>
      </c>
      <c r="B192" s="1">
        <v>45676</v>
      </c>
      <c r="C192" s="1">
        <v>45678</v>
      </c>
      <c r="D192" s="4" t="str">
        <f>IF(OR(Dispute[[#This Row],[Resolution_Date]]="",E192 = 0), "", E192-C192)</f>
        <v/>
      </c>
      <c r="F192" t="s">
        <v>10</v>
      </c>
      <c r="G192" t="s">
        <v>18</v>
      </c>
      <c r="H192" t="s">
        <v>19</v>
      </c>
      <c r="I192" s="2">
        <v>431.45001220703125</v>
      </c>
      <c r="J192" t="s">
        <v>46</v>
      </c>
      <c r="K192" t="str">
        <f>IF(Dispute[[#This Row],[Status]] = "In Progress", IF(Dispute[[#This Row],[Time_Line]]&gt;5, "Overdue", "Within SLA"), "Closed")</f>
        <v>Overdue</v>
      </c>
    </row>
    <row r="193" spans="1:11" x14ac:dyDescent="0.25">
      <c r="A193" t="s">
        <v>213</v>
      </c>
      <c r="B193" s="1">
        <v>45660</v>
      </c>
      <c r="C193" s="1">
        <v>45670</v>
      </c>
      <c r="D193" s="4">
        <f>IF(OR(Dispute[[#This Row],[Resolution_Date]]="",E193 = 0), "", E193-C193)</f>
        <v>2</v>
      </c>
      <c r="E193" s="1">
        <v>45672</v>
      </c>
      <c r="F193" t="s">
        <v>15</v>
      </c>
      <c r="G193" t="s">
        <v>16</v>
      </c>
      <c r="H193" t="s">
        <v>30</v>
      </c>
      <c r="I193" s="2">
        <v>1076.449951171875</v>
      </c>
      <c r="J193" t="s">
        <v>9</v>
      </c>
      <c r="K193" t="str">
        <f>IF(Dispute[[#This Row],[Status]] = "In Progress", IF(Dispute[[#This Row],[Time_Line]]&gt;5, "Overdue", "Within SLA"), "Closed")</f>
        <v>Closed</v>
      </c>
    </row>
    <row r="194" spans="1:11" x14ac:dyDescent="0.25">
      <c r="A194" t="s">
        <v>214</v>
      </c>
      <c r="B194" s="1">
        <v>45670</v>
      </c>
      <c r="C194" s="1">
        <v>45672</v>
      </c>
      <c r="D194" s="4">
        <f>IF(OR(Dispute[[#This Row],[Resolution_Date]]="",E194 = 0), "", E194-C194)</f>
        <v>1</v>
      </c>
      <c r="E194" s="1">
        <v>45673</v>
      </c>
      <c r="F194" t="s">
        <v>15</v>
      </c>
      <c r="G194" t="s">
        <v>16</v>
      </c>
      <c r="H194" t="s">
        <v>30</v>
      </c>
      <c r="I194" s="2">
        <v>943.47998046875</v>
      </c>
      <c r="J194" t="s">
        <v>9</v>
      </c>
      <c r="K194" t="str">
        <f>IF(Dispute[[#This Row],[Status]] = "In Progress", IF(Dispute[[#This Row],[Time_Line]]&gt;5, "Overdue", "Within SLA"), "Closed")</f>
        <v>Closed</v>
      </c>
    </row>
    <row r="195" spans="1:11" x14ac:dyDescent="0.25">
      <c r="A195" t="s">
        <v>215</v>
      </c>
      <c r="B195" s="1">
        <v>45661</v>
      </c>
      <c r="C195" s="1">
        <v>45664</v>
      </c>
      <c r="D195" s="4">
        <f>IF(OR(Dispute[[#This Row],[Resolution_Date]]="",E195 = 0), "", E195-C195)</f>
        <v>7</v>
      </c>
      <c r="E195" s="1">
        <v>45671</v>
      </c>
      <c r="F195" t="s">
        <v>25</v>
      </c>
      <c r="G195" t="s">
        <v>22</v>
      </c>
      <c r="H195" t="s">
        <v>30</v>
      </c>
      <c r="I195" s="2">
        <v>1129.989990234375</v>
      </c>
      <c r="J195" t="s">
        <v>14</v>
      </c>
      <c r="K195" t="str">
        <f>IF(Dispute[[#This Row],[Status]] = "In Progress", IF(Dispute[[#This Row],[Time_Line]]&gt;5, "Overdue", "Within SLA"), "Closed")</f>
        <v>Closed</v>
      </c>
    </row>
    <row r="196" spans="1:11" x14ac:dyDescent="0.25">
      <c r="A196" t="s">
        <v>216</v>
      </c>
      <c r="B196" s="1">
        <v>45688</v>
      </c>
      <c r="C196" s="1">
        <v>45694</v>
      </c>
      <c r="D196" s="4">
        <f>IF(OR(Dispute[[#This Row],[Resolution_Date]]="",E196 = 0), "", E196-C196)</f>
        <v>4</v>
      </c>
      <c r="E196" s="1">
        <v>45698</v>
      </c>
      <c r="F196" t="s">
        <v>10</v>
      </c>
      <c r="G196" t="s">
        <v>22</v>
      </c>
      <c r="H196" t="s">
        <v>12</v>
      </c>
      <c r="I196" s="2">
        <v>193.07000732421875</v>
      </c>
      <c r="J196" t="s">
        <v>14</v>
      </c>
      <c r="K196" t="str">
        <f>IF(Dispute[[#This Row],[Status]] = "In Progress", IF(Dispute[[#This Row],[Time_Line]]&gt;5, "Overdue", "Within SLA"), "Closed")</f>
        <v>Closed</v>
      </c>
    </row>
    <row r="197" spans="1:11" x14ac:dyDescent="0.25">
      <c r="A197" t="s">
        <v>217</v>
      </c>
      <c r="B197" s="1">
        <v>45711</v>
      </c>
      <c r="C197" s="1">
        <v>45721</v>
      </c>
      <c r="D197" s="4">
        <f>IF(OR(Dispute[[#This Row],[Resolution_Date]]="",E197 = 0), "", E197-C197)</f>
        <v>7</v>
      </c>
      <c r="E197" s="1">
        <v>45728</v>
      </c>
      <c r="F197" t="s">
        <v>10</v>
      </c>
      <c r="G197" t="s">
        <v>22</v>
      </c>
      <c r="H197" t="s">
        <v>19</v>
      </c>
      <c r="I197" s="2">
        <v>605.6099853515625</v>
      </c>
      <c r="J197" t="s">
        <v>9</v>
      </c>
      <c r="K197" t="str">
        <f>IF(Dispute[[#This Row],[Status]] = "In Progress", IF(Dispute[[#This Row],[Time_Line]]&gt;5, "Overdue", "Within SLA"), "Closed")</f>
        <v>Closed</v>
      </c>
    </row>
    <row r="198" spans="1:11" x14ac:dyDescent="0.25">
      <c r="A198" t="s">
        <v>218</v>
      </c>
      <c r="B198" s="1">
        <v>45702</v>
      </c>
      <c r="C198" s="1">
        <v>45709</v>
      </c>
      <c r="D198" s="4">
        <f>IF(OR(Dispute[[#This Row],[Resolution_Date]]="",E198 = 0), "", E198-C198)</f>
        <v>1</v>
      </c>
      <c r="E198" s="1">
        <v>45710</v>
      </c>
      <c r="F198" t="s">
        <v>10</v>
      </c>
      <c r="G198" t="s">
        <v>18</v>
      </c>
      <c r="H198" t="s">
        <v>19</v>
      </c>
      <c r="I198" s="2">
        <v>1101.300048828125</v>
      </c>
      <c r="J198" t="s">
        <v>14</v>
      </c>
      <c r="K198" t="str">
        <f>IF(Dispute[[#This Row],[Status]] = "In Progress", IF(Dispute[[#This Row],[Time_Line]]&gt;5, "Overdue", "Within SLA"), "Closed")</f>
        <v>Closed</v>
      </c>
    </row>
    <row r="199" spans="1:11" x14ac:dyDescent="0.25">
      <c r="A199" t="s">
        <v>219</v>
      </c>
      <c r="B199" s="1">
        <v>45689</v>
      </c>
      <c r="C199" s="1">
        <v>45694</v>
      </c>
      <c r="D199" s="4" t="str">
        <f>IF(OR(Dispute[[#This Row],[Resolution_Date]]="",E199 = 0), "", E199-C199)</f>
        <v/>
      </c>
      <c r="F199" t="s">
        <v>15</v>
      </c>
      <c r="G199" t="s">
        <v>11</v>
      </c>
      <c r="H199" t="s">
        <v>30</v>
      </c>
      <c r="I199" s="2">
        <v>907.3499755859375</v>
      </c>
      <c r="J199" t="s">
        <v>46</v>
      </c>
      <c r="K199" t="str">
        <f>IF(Dispute[[#This Row],[Status]] = "In Progress", IF(Dispute[[#This Row],[Time_Line]]&gt;5, "Overdue", "Within SLA"), "Closed")</f>
        <v>Overdue</v>
      </c>
    </row>
    <row r="200" spans="1:11" x14ac:dyDescent="0.25">
      <c r="A200" t="s">
        <v>220</v>
      </c>
      <c r="B200" s="1">
        <v>45661</v>
      </c>
      <c r="C200" s="1">
        <v>45667</v>
      </c>
      <c r="D200" s="4">
        <f>IF(OR(Dispute[[#This Row],[Resolution_Date]]="",E200 = 0), "", E200-C200)</f>
        <v>4</v>
      </c>
      <c r="E200" s="1">
        <v>45671</v>
      </c>
      <c r="F200" t="s">
        <v>15</v>
      </c>
      <c r="G200" t="s">
        <v>18</v>
      </c>
      <c r="H200" t="s">
        <v>30</v>
      </c>
      <c r="I200" s="2">
        <v>1013.2000122070313</v>
      </c>
      <c r="J200" t="s">
        <v>9</v>
      </c>
      <c r="K200" t="str">
        <f>IF(Dispute[[#This Row],[Status]] = "In Progress", IF(Dispute[[#This Row],[Time_Line]]&gt;5, "Overdue", "Within SLA"), "Closed")</f>
        <v>Closed</v>
      </c>
    </row>
    <row r="201" spans="1:11" x14ac:dyDescent="0.25">
      <c r="A201" t="s">
        <v>221</v>
      </c>
      <c r="B201" s="1">
        <v>45678</v>
      </c>
      <c r="C201" s="1">
        <v>45681</v>
      </c>
      <c r="D201" s="4" t="str">
        <f>IF(OR(Dispute[[#This Row],[Resolution_Date]]="",E201 = 0), "", E201-C201)</f>
        <v/>
      </c>
      <c r="F201" t="s">
        <v>10</v>
      </c>
      <c r="G201" t="s">
        <v>18</v>
      </c>
      <c r="H201" t="s">
        <v>30</v>
      </c>
      <c r="I201" s="2">
        <v>319.42001342773438</v>
      </c>
      <c r="J201" t="s">
        <v>46</v>
      </c>
      <c r="K201" t="str">
        <f>IF(Dispute[[#This Row],[Status]] = "In Progress", IF(Dispute[[#This Row],[Time_Line]]&gt;5, "Overdue", "Within SLA"), "Closed")</f>
        <v>Overdue</v>
      </c>
    </row>
    <row r="202" spans="1:11" x14ac:dyDescent="0.25">
      <c r="A202" t="s">
        <v>222</v>
      </c>
      <c r="B202" s="1">
        <v>45681</v>
      </c>
      <c r="C202" s="1">
        <v>45690</v>
      </c>
      <c r="D202" s="4">
        <f>IF(OR(Dispute[[#This Row],[Resolution_Date]]="",E202 = 0), "", E202-C202)</f>
        <v>2</v>
      </c>
      <c r="E202" s="1">
        <v>45692</v>
      </c>
      <c r="F202" t="s">
        <v>25</v>
      </c>
      <c r="G202" t="s">
        <v>16</v>
      </c>
      <c r="H202" t="s">
        <v>23</v>
      </c>
      <c r="I202" s="2">
        <v>1130.8399658203125</v>
      </c>
      <c r="J202" t="s">
        <v>9</v>
      </c>
      <c r="K202" t="str">
        <f>IF(Dispute[[#This Row],[Status]] = "In Progress", IF(Dispute[[#This Row],[Time_Line]]&gt;5, "Overdue", "Within SLA"), "Closed")</f>
        <v>Closed</v>
      </c>
    </row>
    <row r="203" spans="1:11" x14ac:dyDescent="0.25">
      <c r="A203" t="s">
        <v>223</v>
      </c>
      <c r="B203" s="1">
        <v>45669</v>
      </c>
      <c r="C203" s="1">
        <v>45672</v>
      </c>
      <c r="D203" s="4">
        <f>IF(OR(Dispute[[#This Row],[Resolution_Date]]="",E203 = 0), "", E203-C203)</f>
        <v>2</v>
      </c>
      <c r="E203" s="1">
        <v>45674</v>
      </c>
      <c r="F203" t="s">
        <v>15</v>
      </c>
      <c r="G203" t="s">
        <v>11</v>
      </c>
      <c r="H203" t="s">
        <v>23</v>
      </c>
      <c r="I203" s="2">
        <v>831.08001708984375</v>
      </c>
      <c r="J203" t="s">
        <v>14</v>
      </c>
      <c r="K203" t="str">
        <f>IF(Dispute[[#This Row],[Status]] = "In Progress", IF(Dispute[[#This Row],[Time_Line]]&gt;5, "Overdue", "Within SLA"), "Closed")</f>
        <v>Closed</v>
      </c>
    </row>
    <row r="204" spans="1:11" x14ac:dyDescent="0.25">
      <c r="A204" t="s">
        <v>224</v>
      </c>
      <c r="B204" s="1">
        <v>45667</v>
      </c>
      <c r="C204" s="1">
        <v>45669</v>
      </c>
      <c r="D204" s="4" t="str">
        <f>IF(OR(Dispute[[#This Row],[Resolution_Date]]="",E204 = 0), "", E204-C204)</f>
        <v/>
      </c>
      <c r="F204" t="s">
        <v>25</v>
      </c>
      <c r="G204" t="s">
        <v>11</v>
      </c>
      <c r="H204" t="s">
        <v>19</v>
      </c>
      <c r="I204" s="2">
        <v>802.65997314453125</v>
      </c>
      <c r="J204" t="s">
        <v>46</v>
      </c>
      <c r="K204" t="str">
        <f>IF(Dispute[[#This Row],[Status]] = "In Progress", IF(Dispute[[#This Row],[Time_Line]]&gt;5, "Overdue", "Within SLA"), "Closed")</f>
        <v>Overdue</v>
      </c>
    </row>
    <row r="205" spans="1:11" x14ac:dyDescent="0.25">
      <c r="A205" t="s">
        <v>225</v>
      </c>
      <c r="B205" s="1">
        <v>45701</v>
      </c>
      <c r="C205" s="1">
        <v>45706</v>
      </c>
      <c r="D205" s="4">
        <f>IF(OR(Dispute[[#This Row],[Resolution_Date]]="",E205 = 0), "", E205-C205)</f>
        <v>6</v>
      </c>
      <c r="E205" s="1">
        <v>45712</v>
      </c>
      <c r="F205" t="s">
        <v>15</v>
      </c>
      <c r="G205" t="s">
        <v>11</v>
      </c>
      <c r="H205" t="s">
        <v>12</v>
      </c>
      <c r="I205" s="2">
        <v>232.61000061035156</v>
      </c>
      <c r="J205" t="s">
        <v>14</v>
      </c>
      <c r="K205" t="str">
        <f>IF(Dispute[[#This Row],[Status]] = "In Progress", IF(Dispute[[#This Row],[Time_Line]]&gt;5, "Overdue", "Within SLA"), "Closed")</f>
        <v>Closed</v>
      </c>
    </row>
    <row r="206" spans="1:11" x14ac:dyDescent="0.25">
      <c r="A206" t="s">
        <v>226</v>
      </c>
      <c r="B206" s="1">
        <v>45667</v>
      </c>
      <c r="C206" s="1">
        <v>45674</v>
      </c>
      <c r="D206" s="4">
        <f>IF(OR(Dispute[[#This Row],[Resolution_Date]]="",E206 = 0), "", E206-C206)</f>
        <v>6</v>
      </c>
      <c r="E206" s="1">
        <v>45680</v>
      </c>
      <c r="F206" t="s">
        <v>25</v>
      </c>
      <c r="G206" t="s">
        <v>22</v>
      </c>
      <c r="H206" t="s">
        <v>12</v>
      </c>
      <c r="I206" s="2">
        <v>439.45999145507813</v>
      </c>
      <c r="J206" t="s">
        <v>9</v>
      </c>
      <c r="K206" t="str">
        <f>IF(Dispute[[#This Row],[Status]] = "In Progress", IF(Dispute[[#This Row],[Time_Line]]&gt;5, "Overdue", "Within SLA"), "Closed")</f>
        <v>Closed</v>
      </c>
    </row>
    <row r="207" spans="1:11" x14ac:dyDescent="0.25">
      <c r="A207" t="s">
        <v>227</v>
      </c>
      <c r="B207" s="1">
        <v>45668</v>
      </c>
      <c r="C207" s="1">
        <v>45675</v>
      </c>
      <c r="D207" s="4">
        <f>IF(OR(Dispute[[#This Row],[Resolution_Date]]="",E207 = 0), "", E207-C207)</f>
        <v>7</v>
      </c>
      <c r="E207" s="1">
        <v>45682</v>
      </c>
      <c r="F207" t="s">
        <v>25</v>
      </c>
      <c r="G207" t="s">
        <v>16</v>
      </c>
      <c r="H207" t="s">
        <v>12</v>
      </c>
      <c r="I207" s="2">
        <v>178.55999755859375</v>
      </c>
      <c r="J207" t="s">
        <v>14</v>
      </c>
      <c r="K207" t="str">
        <f>IF(Dispute[[#This Row],[Status]] = "In Progress", IF(Dispute[[#This Row],[Time_Line]]&gt;5, "Overdue", "Within SLA"), "Closed")</f>
        <v>Closed</v>
      </c>
    </row>
    <row r="208" spans="1:11" x14ac:dyDescent="0.25">
      <c r="A208" t="s">
        <v>228</v>
      </c>
      <c r="B208" s="1">
        <v>45663</v>
      </c>
      <c r="C208" s="1">
        <v>45664</v>
      </c>
      <c r="D208" s="4">
        <f>IF(OR(Dispute[[#This Row],[Resolution_Date]]="",E208 = 0), "", E208-C208)</f>
        <v>2</v>
      </c>
      <c r="E208" s="1">
        <v>45666</v>
      </c>
      <c r="F208" t="s">
        <v>15</v>
      </c>
      <c r="G208" t="s">
        <v>18</v>
      </c>
      <c r="H208" t="s">
        <v>19</v>
      </c>
      <c r="I208" s="2">
        <v>743.34002685546875</v>
      </c>
      <c r="J208" t="s">
        <v>9</v>
      </c>
      <c r="K208" t="str">
        <f>IF(Dispute[[#This Row],[Status]] = "In Progress", IF(Dispute[[#This Row],[Time_Line]]&gt;5, "Overdue", "Within SLA"), "Closed")</f>
        <v>Closed</v>
      </c>
    </row>
    <row r="209" spans="1:11" x14ac:dyDescent="0.25">
      <c r="A209" t="s">
        <v>229</v>
      </c>
      <c r="B209" s="1">
        <v>45658</v>
      </c>
      <c r="C209" s="1">
        <v>45663</v>
      </c>
      <c r="D209" s="4" t="str">
        <f>IF(OR(Dispute[[#This Row],[Resolution_Date]]="",E209 = 0), "", E209-C209)</f>
        <v/>
      </c>
      <c r="F209" t="s">
        <v>15</v>
      </c>
      <c r="G209" t="s">
        <v>22</v>
      </c>
      <c r="H209" t="s">
        <v>12</v>
      </c>
      <c r="I209" s="2">
        <v>597.3599853515625</v>
      </c>
      <c r="J209" t="s">
        <v>46</v>
      </c>
      <c r="K209" t="str">
        <f>IF(Dispute[[#This Row],[Status]] = "In Progress", IF(Dispute[[#This Row],[Time_Line]]&gt;5, "Overdue", "Within SLA"), "Closed")</f>
        <v>Overdue</v>
      </c>
    </row>
    <row r="210" spans="1:11" x14ac:dyDescent="0.25">
      <c r="A210" t="s">
        <v>230</v>
      </c>
      <c r="B210" s="1">
        <v>45672</v>
      </c>
      <c r="C210" s="1">
        <v>45682</v>
      </c>
      <c r="D210" s="4">
        <f>IF(OR(Dispute[[#This Row],[Resolution_Date]]="",E210 = 0), "", E210-C210)</f>
        <v>4</v>
      </c>
      <c r="E210" s="1">
        <v>45686</v>
      </c>
      <c r="F210" t="s">
        <v>15</v>
      </c>
      <c r="G210" t="s">
        <v>16</v>
      </c>
      <c r="H210" t="s">
        <v>23</v>
      </c>
      <c r="I210" s="2">
        <v>295.27999877929688</v>
      </c>
      <c r="J210" t="s">
        <v>14</v>
      </c>
      <c r="K210" t="str">
        <f>IF(Dispute[[#This Row],[Status]] = "In Progress", IF(Dispute[[#This Row],[Time_Line]]&gt;5, "Overdue", "Within SLA"), "Closed")</f>
        <v>Closed</v>
      </c>
    </row>
    <row r="211" spans="1:11" x14ac:dyDescent="0.25">
      <c r="A211" t="s">
        <v>231</v>
      </c>
      <c r="B211" s="1">
        <v>45706</v>
      </c>
      <c r="C211" s="1">
        <v>45707</v>
      </c>
      <c r="D211" s="4">
        <f>IF(OR(Dispute[[#This Row],[Resolution_Date]]="",E211 = 0), "", E211-C211)</f>
        <v>1</v>
      </c>
      <c r="E211" s="1">
        <v>45708</v>
      </c>
      <c r="F211" t="s">
        <v>15</v>
      </c>
      <c r="G211" t="s">
        <v>22</v>
      </c>
      <c r="H211" t="s">
        <v>30</v>
      </c>
      <c r="I211" s="2">
        <v>1090.969970703125</v>
      </c>
      <c r="J211" t="s">
        <v>9</v>
      </c>
      <c r="K211" t="str">
        <f>IF(Dispute[[#This Row],[Status]] = "In Progress", IF(Dispute[[#This Row],[Time_Line]]&gt;5, "Overdue", "Within SLA"), "Closed")</f>
        <v>Closed</v>
      </c>
    </row>
    <row r="212" spans="1:11" x14ac:dyDescent="0.25">
      <c r="A212" t="s">
        <v>232</v>
      </c>
      <c r="B212" s="1">
        <v>45705</v>
      </c>
      <c r="C212" s="1">
        <v>45712</v>
      </c>
      <c r="D212" s="4">
        <f>IF(OR(Dispute[[#This Row],[Resolution_Date]]="",E212 = 0), "", E212-C212)</f>
        <v>7</v>
      </c>
      <c r="E212" s="1">
        <v>45719</v>
      </c>
      <c r="F212" t="s">
        <v>25</v>
      </c>
      <c r="G212" t="s">
        <v>22</v>
      </c>
      <c r="H212" t="s">
        <v>12</v>
      </c>
      <c r="I212" s="2">
        <v>1149.780029296875</v>
      </c>
      <c r="J212" t="s">
        <v>9</v>
      </c>
      <c r="K212" t="str">
        <f>IF(Dispute[[#This Row],[Status]] = "In Progress", IF(Dispute[[#This Row],[Time_Line]]&gt;5, "Overdue", "Within SLA"), "Closed")</f>
        <v>Closed</v>
      </c>
    </row>
    <row r="213" spans="1:11" x14ac:dyDescent="0.25">
      <c r="A213" t="s">
        <v>233</v>
      </c>
      <c r="B213" s="1">
        <v>45700</v>
      </c>
      <c r="C213" s="1">
        <v>45704</v>
      </c>
      <c r="D213" s="4" t="str">
        <f>IF(OR(Dispute[[#This Row],[Resolution_Date]]="",E213 = 0), "", E213-C213)</f>
        <v/>
      </c>
      <c r="F213" t="s">
        <v>15</v>
      </c>
      <c r="G213" t="s">
        <v>11</v>
      </c>
      <c r="H213" t="s">
        <v>19</v>
      </c>
      <c r="I213" s="2">
        <v>424.17999267578125</v>
      </c>
      <c r="J213" t="s">
        <v>46</v>
      </c>
      <c r="K213" t="str">
        <f>IF(Dispute[[#This Row],[Status]] = "In Progress", IF(Dispute[[#This Row],[Time_Line]]&gt;5, "Overdue", "Within SLA"), "Closed")</f>
        <v>Overdue</v>
      </c>
    </row>
    <row r="214" spans="1:11" x14ac:dyDescent="0.25">
      <c r="A214" t="s">
        <v>234</v>
      </c>
      <c r="B214" s="1">
        <v>45713</v>
      </c>
      <c r="C214" s="1">
        <v>45722</v>
      </c>
      <c r="D214" s="4">
        <f>IF(OR(Dispute[[#This Row],[Resolution_Date]]="",E214 = 0), "", E214-C214)</f>
        <v>1</v>
      </c>
      <c r="E214" s="1">
        <v>45723</v>
      </c>
      <c r="F214" t="s">
        <v>10</v>
      </c>
      <c r="G214" t="s">
        <v>16</v>
      </c>
      <c r="H214" t="s">
        <v>30</v>
      </c>
      <c r="I214" s="2">
        <v>586.1199951171875</v>
      </c>
      <c r="J214" t="s">
        <v>9</v>
      </c>
      <c r="K214" t="str">
        <f>IF(Dispute[[#This Row],[Status]] = "In Progress", IF(Dispute[[#This Row],[Time_Line]]&gt;5, "Overdue", "Within SLA"), "Closed")</f>
        <v>Closed</v>
      </c>
    </row>
    <row r="215" spans="1:11" x14ac:dyDescent="0.25">
      <c r="A215" t="s">
        <v>235</v>
      </c>
      <c r="B215" s="1">
        <v>45674</v>
      </c>
      <c r="C215" s="1">
        <v>45677</v>
      </c>
      <c r="D215" s="4">
        <f>IF(OR(Dispute[[#This Row],[Resolution_Date]]="",E215 = 0), "", E215-C215)</f>
        <v>6</v>
      </c>
      <c r="E215" s="1">
        <v>45683</v>
      </c>
      <c r="F215" t="s">
        <v>10</v>
      </c>
      <c r="G215" t="s">
        <v>11</v>
      </c>
      <c r="H215" t="s">
        <v>19</v>
      </c>
      <c r="I215" s="2">
        <v>593.5</v>
      </c>
      <c r="J215" t="s">
        <v>9</v>
      </c>
      <c r="K215" t="str">
        <f>IF(Dispute[[#This Row],[Status]] = "In Progress", IF(Dispute[[#This Row],[Time_Line]]&gt;5, "Overdue", "Within SLA"), "Closed")</f>
        <v>Closed</v>
      </c>
    </row>
    <row r="216" spans="1:11" x14ac:dyDescent="0.25">
      <c r="A216" t="s">
        <v>236</v>
      </c>
      <c r="B216" s="1">
        <v>45676</v>
      </c>
      <c r="C216" s="1">
        <v>45685</v>
      </c>
      <c r="D216" s="4">
        <f>IF(OR(Dispute[[#This Row],[Resolution_Date]]="",E216 = 0), "", E216-C216)</f>
        <v>5</v>
      </c>
      <c r="E216" s="1">
        <v>45690</v>
      </c>
      <c r="F216" t="s">
        <v>25</v>
      </c>
      <c r="G216" t="s">
        <v>18</v>
      </c>
      <c r="H216" t="s">
        <v>12</v>
      </c>
      <c r="I216" s="2">
        <v>1010.97998046875</v>
      </c>
      <c r="J216" t="s">
        <v>14</v>
      </c>
      <c r="K216" t="str">
        <f>IF(Dispute[[#This Row],[Status]] = "In Progress", IF(Dispute[[#This Row],[Time_Line]]&gt;5, "Overdue", "Within SLA"), "Closed")</f>
        <v>Closed</v>
      </c>
    </row>
    <row r="217" spans="1:11" x14ac:dyDescent="0.25">
      <c r="A217" t="s">
        <v>237</v>
      </c>
      <c r="B217" s="1">
        <v>45707</v>
      </c>
      <c r="C217" s="1">
        <v>45716</v>
      </c>
      <c r="D217" s="4">
        <f>IF(OR(Dispute[[#This Row],[Resolution_Date]]="",E217 = 0), "", E217-C217)</f>
        <v>4</v>
      </c>
      <c r="E217" s="1">
        <v>45720</v>
      </c>
      <c r="F217" t="s">
        <v>15</v>
      </c>
      <c r="G217" t="s">
        <v>11</v>
      </c>
      <c r="H217" t="s">
        <v>23</v>
      </c>
      <c r="I217" s="2">
        <v>939.22998046875</v>
      </c>
      <c r="J217" t="s">
        <v>9</v>
      </c>
      <c r="K217" t="str">
        <f>IF(Dispute[[#This Row],[Status]] = "In Progress", IF(Dispute[[#This Row],[Time_Line]]&gt;5, "Overdue", "Within SLA"), "Closed")</f>
        <v>Closed</v>
      </c>
    </row>
    <row r="218" spans="1:11" x14ac:dyDescent="0.25">
      <c r="A218" t="s">
        <v>238</v>
      </c>
      <c r="B218" s="1">
        <v>45661</v>
      </c>
      <c r="C218" s="1">
        <v>45665</v>
      </c>
      <c r="D218" s="4" t="str">
        <f>IF(OR(Dispute[[#This Row],[Resolution_Date]]="",E218 = 0), "", E218-C218)</f>
        <v/>
      </c>
      <c r="F218" t="s">
        <v>10</v>
      </c>
      <c r="G218" t="s">
        <v>18</v>
      </c>
      <c r="H218" t="s">
        <v>30</v>
      </c>
      <c r="I218" s="2">
        <v>551.79998779296875</v>
      </c>
      <c r="J218" t="s">
        <v>46</v>
      </c>
      <c r="K218" t="str">
        <f>IF(Dispute[[#This Row],[Status]] = "In Progress", IF(Dispute[[#This Row],[Time_Line]]&gt;5, "Overdue", "Within SLA"), "Closed")</f>
        <v>Overdue</v>
      </c>
    </row>
    <row r="219" spans="1:11" x14ac:dyDescent="0.25">
      <c r="A219" t="s">
        <v>239</v>
      </c>
      <c r="B219" s="1">
        <v>45682</v>
      </c>
      <c r="C219" s="1">
        <v>45690</v>
      </c>
      <c r="D219" s="4">
        <f>IF(OR(Dispute[[#This Row],[Resolution_Date]]="",E219 = 0), "", E219-C219)</f>
        <v>5</v>
      </c>
      <c r="E219" s="1">
        <v>45695</v>
      </c>
      <c r="F219" t="s">
        <v>25</v>
      </c>
      <c r="G219" t="s">
        <v>22</v>
      </c>
      <c r="H219" t="s">
        <v>19</v>
      </c>
      <c r="I219" s="2">
        <v>451.32000732421875</v>
      </c>
      <c r="J219" t="s">
        <v>9</v>
      </c>
      <c r="K219" t="str">
        <f>IF(Dispute[[#This Row],[Status]] = "In Progress", IF(Dispute[[#This Row],[Time_Line]]&gt;5, "Overdue", "Within SLA"), "Closed")</f>
        <v>Closed</v>
      </c>
    </row>
    <row r="220" spans="1:11" x14ac:dyDescent="0.25">
      <c r="A220" t="s">
        <v>240</v>
      </c>
      <c r="B220" s="1">
        <v>45696</v>
      </c>
      <c r="C220" s="1">
        <v>45703</v>
      </c>
      <c r="D220" s="4">
        <f>IF(OR(Dispute[[#This Row],[Resolution_Date]]="",E220 = 0), "", E220-C220)</f>
        <v>5</v>
      </c>
      <c r="E220" s="1">
        <v>45708</v>
      </c>
      <c r="F220" t="s">
        <v>25</v>
      </c>
      <c r="G220" t="s">
        <v>22</v>
      </c>
      <c r="H220" t="s">
        <v>30</v>
      </c>
      <c r="I220" s="2">
        <v>1011.739990234375</v>
      </c>
      <c r="J220" t="s">
        <v>9</v>
      </c>
      <c r="K220" t="str">
        <f>IF(Dispute[[#This Row],[Status]] = "In Progress", IF(Dispute[[#This Row],[Time_Line]]&gt;5, "Overdue", "Within SLA"), "Closed")</f>
        <v>Closed</v>
      </c>
    </row>
    <row r="221" spans="1:11" x14ac:dyDescent="0.25">
      <c r="A221" t="s">
        <v>241</v>
      </c>
      <c r="B221" s="1">
        <v>45696</v>
      </c>
      <c r="C221" s="1">
        <v>45697</v>
      </c>
      <c r="D221" s="4">
        <f>IF(OR(Dispute[[#This Row],[Resolution_Date]]="",E221 = 0), "", E221-C221)</f>
        <v>7</v>
      </c>
      <c r="E221" s="1">
        <v>45704</v>
      </c>
      <c r="F221" t="s">
        <v>15</v>
      </c>
      <c r="G221" t="s">
        <v>22</v>
      </c>
      <c r="H221" t="s">
        <v>12</v>
      </c>
      <c r="I221" s="2">
        <v>302.48001098632813</v>
      </c>
      <c r="J221" t="s">
        <v>14</v>
      </c>
      <c r="K221" t="str">
        <f>IF(Dispute[[#This Row],[Status]] = "In Progress", IF(Dispute[[#This Row],[Time_Line]]&gt;5, "Overdue", "Within SLA"), "Closed")</f>
        <v>Closed</v>
      </c>
    </row>
    <row r="222" spans="1:11" x14ac:dyDescent="0.25">
      <c r="A222" t="s">
        <v>242</v>
      </c>
      <c r="B222" s="1">
        <v>45694</v>
      </c>
      <c r="C222" s="1">
        <v>45699</v>
      </c>
      <c r="D222" s="4">
        <f>IF(OR(Dispute[[#This Row],[Resolution_Date]]="",E222 = 0), "", E222-C222)</f>
        <v>3</v>
      </c>
      <c r="E222" s="1">
        <v>45702</v>
      </c>
      <c r="F222" t="s">
        <v>25</v>
      </c>
      <c r="G222" t="s">
        <v>18</v>
      </c>
      <c r="H222" t="s">
        <v>12</v>
      </c>
      <c r="I222" s="2">
        <v>452.55999755859375</v>
      </c>
      <c r="J222" t="s">
        <v>9</v>
      </c>
      <c r="K222" t="str">
        <f>IF(Dispute[[#This Row],[Status]] = "In Progress", IF(Dispute[[#This Row],[Time_Line]]&gt;5, "Overdue", "Within SLA"), "Closed")</f>
        <v>Closed</v>
      </c>
    </row>
    <row r="223" spans="1:11" x14ac:dyDescent="0.25">
      <c r="A223" t="s">
        <v>243</v>
      </c>
      <c r="B223" s="1">
        <v>45663</v>
      </c>
      <c r="C223" s="1">
        <v>45670</v>
      </c>
      <c r="D223" s="4">
        <f>IF(OR(Dispute[[#This Row],[Resolution_Date]]="",E223 = 0), "", E223-C223)</f>
        <v>6</v>
      </c>
      <c r="E223" s="1">
        <v>45676</v>
      </c>
      <c r="F223" t="s">
        <v>25</v>
      </c>
      <c r="G223" t="s">
        <v>18</v>
      </c>
      <c r="H223" t="s">
        <v>12</v>
      </c>
      <c r="I223" s="2">
        <v>690.05999755859375</v>
      </c>
      <c r="J223" t="s">
        <v>9</v>
      </c>
      <c r="K223" t="str">
        <f>IF(Dispute[[#This Row],[Status]] = "In Progress", IF(Dispute[[#This Row],[Time_Line]]&gt;5, "Overdue", "Within SLA"), "Closed")</f>
        <v>Closed</v>
      </c>
    </row>
    <row r="224" spans="1:11" x14ac:dyDescent="0.25">
      <c r="A224" t="s">
        <v>244</v>
      </c>
      <c r="B224" s="1">
        <v>45688</v>
      </c>
      <c r="C224" s="1">
        <v>45697</v>
      </c>
      <c r="D224" s="4">
        <f>IF(OR(Dispute[[#This Row],[Resolution_Date]]="",E224 = 0), "", E224-C224)</f>
        <v>7</v>
      </c>
      <c r="E224" s="1">
        <v>45704</v>
      </c>
      <c r="F224" t="s">
        <v>25</v>
      </c>
      <c r="G224" t="s">
        <v>11</v>
      </c>
      <c r="H224" t="s">
        <v>30</v>
      </c>
      <c r="I224" s="2">
        <v>166.89999389648438</v>
      </c>
      <c r="J224" t="s">
        <v>9</v>
      </c>
      <c r="K224" t="str">
        <f>IF(Dispute[[#This Row],[Status]] = "In Progress", IF(Dispute[[#This Row],[Time_Line]]&gt;5, "Overdue", "Within SLA"), "Closed")</f>
        <v>Closed</v>
      </c>
    </row>
    <row r="225" spans="1:11" x14ac:dyDescent="0.25">
      <c r="A225" t="s">
        <v>245</v>
      </c>
      <c r="B225" s="1">
        <v>45672</v>
      </c>
      <c r="C225" s="1">
        <v>45673</v>
      </c>
      <c r="D225" s="4">
        <f>IF(OR(Dispute[[#This Row],[Resolution_Date]]="",E225 = 0), "", E225-C225)</f>
        <v>3</v>
      </c>
      <c r="E225" s="1">
        <v>45676</v>
      </c>
      <c r="F225" t="s">
        <v>10</v>
      </c>
      <c r="G225" t="s">
        <v>22</v>
      </c>
      <c r="H225" t="s">
        <v>12</v>
      </c>
      <c r="I225" s="2">
        <v>1186.3800048828125</v>
      </c>
      <c r="J225" t="s">
        <v>14</v>
      </c>
      <c r="K225" t="str">
        <f>IF(Dispute[[#This Row],[Status]] = "In Progress", IF(Dispute[[#This Row],[Time_Line]]&gt;5, "Overdue", "Within SLA"), "Closed")</f>
        <v>Closed</v>
      </c>
    </row>
    <row r="226" spans="1:11" x14ac:dyDescent="0.25">
      <c r="A226" t="s">
        <v>246</v>
      </c>
      <c r="B226" s="1">
        <v>45691</v>
      </c>
      <c r="C226" s="1">
        <v>45696</v>
      </c>
      <c r="D226" s="4">
        <f>IF(OR(Dispute[[#This Row],[Resolution_Date]]="",E226 = 0), "", E226-C226)</f>
        <v>5</v>
      </c>
      <c r="E226" s="1">
        <v>45701</v>
      </c>
      <c r="F226" t="s">
        <v>10</v>
      </c>
      <c r="G226" t="s">
        <v>18</v>
      </c>
      <c r="H226" t="s">
        <v>30</v>
      </c>
      <c r="I226" s="2">
        <v>21.350000381469727</v>
      </c>
      <c r="J226" t="s">
        <v>9</v>
      </c>
      <c r="K226" t="str">
        <f>IF(Dispute[[#This Row],[Status]] = "In Progress", IF(Dispute[[#This Row],[Time_Line]]&gt;5, "Overdue", "Within SLA"), "Closed")</f>
        <v>Closed</v>
      </c>
    </row>
    <row r="227" spans="1:11" x14ac:dyDescent="0.25">
      <c r="A227" t="s">
        <v>247</v>
      </c>
      <c r="B227" s="1">
        <v>45666</v>
      </c>
      <c r="C227" s="1">
        <v>45675</v>
      </c>
      <c r="D227" s="4">
        <f>IF(OR(Dispute[[#This Row],[Resolution_Date]]="",E227 = 0), "", E227-C227)</f>
        <v>6</v>
      </c>
      <c r="E227" s="1">
        <v>45681</v>
      </c>
      <c r="F227" t="s">
        <v>25</v>
      </c>
      <c r="G227" t="s">
        <v>11</v>
      </c>
      <c r="H227" t="s">
        <v>23</v>
      </c>
      <c r="I227" s="2">
        <v>338.1300048828125</v>
      </c>
      <c r="J227" t="s">
        <v>9</v>
      </c>
      <c r="K227" t="str">
        <f>IF(Dispute[[#This Row],[Status]] = "In Progress", IF(Dispute[[#This Row],[Time_Line]]&gt;5, "Overdue", "Within SLA"), "Closed")</f>
        <v>Closed</v>
      </c>
    </row>
    <row r="228" spans="1:11" x14ac:dyDescent="0.25">
      <c r="A228" t="s">
        <v>248</v>
      </c>
      <c r="B228" s="1">
        <v>45680</v>
      </c>
      <c r="C228" s="1">
        <v>45686</v>
      </c>
      <c r="D228" s="4">
        <f>IF(OR(Dispute[[#This Row],[Resolution_Date]]="",E228 = 0), "", E228-C228)</f>
        <v>1</v>
      </c>
      <c r="E228" s="1">
        <v>45687</v>
      </c>
      <c r="F228" t="s">
        <v>10</v>
      </c>
      <c r="G228" t="s">
        <v>11</v>
      </c>
      <c r="H228" t="s">
        <v>19</v>
      </c>
      <c r="I228" s="2">
        <v>946</v>
      </c>
      <c r="J228" t="s">
        <v>14</v>
      </c>
      <c r="K228" t="str">
        <f>IF(Dispute[[#This Row],[Status]] = "In Progress", IF(Dispute[[#This Row],[Time_Line]]&gt;5, "Overdue", "Within SLA"), "Closed")</f>
        <v>Closed</v>
      </c>
    </row>
    <row r="229" spans="1:11" x14ac:dyDescent="0.25">
      <c r="A229" t="s">
        <v>249</v>
      </c>
      <c r="B229" s="1">
        <v>45708</v>
      </c>
      <c r="C229" s="1">
        <v>45717</v>
      </c>
      <c r="D229" s="4">
        <f>IF(OR(Dispute[[#This Row],[Resolution_Date]]="",E229 = 0), "", E229-C229)</f>
        <v>2</v>
      </c>
      <c r="E229" s="1">
        <v>45719</v>
      </c>
      <c r="F229" t="s">
        <v>10</v>
      </c>
      <c r="G229" t="s">
        <v>16</v>
      </c>
      <c r="H229" t="s">
        <v>23</v>
      </c>
      <c r="I229" s="2">
        <v>516.219970703125</v>
      </c>
      <c r="J229" t="s">
        <v>9</v>
      </c>
      <c r="K229" t="str">
        <f>IF(Dispute[[#This Row],[Status]] = "In Progress", IF(Dispute[[#This Row],[Time_Line]]&gt;5, "Overdue", "Within SLA"), "Closed")</f>
        <v>Closed</v>
      </c>
    </row>
    <row r="230" spans="1:11" x14ac:dyDescent="0.25">
      <c r="A230" t="s">
        <v>250</v>
      </c>
      <c r="B230" s="1">
        <v>45676</v>
      </c>
      <c r="C230" s="1">
        <v>45678</v>
      </c>
      <c r="D230" s="4">
        <f>IF(OR(Dispute[[#This Row],[Resolution_Date]]="",E230 = 0), "", E230-C230)</f>
        <v>1</v>
      </c>
      <c r="E230" s="1">
        <v>45679</v>
      </c>
      <c r="F230" t="s">
        <v>15</v>
      </c>
      <c r="G230" t="s">
        <v>16</v>
      </c>
      <c r="H230" t="s">
        <v>12</v>
      </c>
      <c r="I230" s="2">
        <v>828.8499755859375</v>
      </c>
      <c r="J230" t="s">
        <v>14</v>
      </c>
      <c r="K230" t="str">
        <f>IF(Dispute[[#This Row],[Status]] = "In Progress", IF(Dispute[[#This Row],[Time_Line]]&gt;5, "Overdue", "Within SLA"), "Closed")</f>
        <v>Closed</v>
      </c>
    </row>
    <row r="231" spans="1:11" x14ac:dyDescent="0.25">
      <c r="A231" t="s">
        <v>251</v>
      </c>
      <c r="B231" s="1">
        <v>45715</v>
      </c>
      <c r="C231" s="1">
        <v>45717</v>
      </c>
      <c r="D231" s="4">
        <f>IF(OR(Dispute[[#This Row],[Resolution_Date]]="",E231 = 0), "", E231-C231)</f>
        <v>7</v>
      </c>
      <c r="E231" s="1">
        <v>45724</v>
      </c>
      <c r="F231" t="s">
        <v>10</v>
      </c>
      <c r="G231" t="s">
        <v>11</v>
      </c>
      <c r="H231" t="s">
        <v>19</v>
      </c>
      <c r="I231" s="2">
        <v>301.45999145507813</v>
      </c>
      <c r="J231" t="s">
        <v>14</v>
      </c>
      <c r="K231" t="str">
        <f>IF(Dispute[[#This Row],[Status]] = "In Progress", IF(Dispute[[#This Row],[Time_Line]]&gt;5, "Overdue", "Within SLA"), "Closed")</f>
        <v>Closed</v>
      </c>
    </row>
    <row r="232" spans="1:11" x14ac:dyDescent="0.25">
      <c r="A232" t="s">
        <v>252</v>
      </c>
      <c r="B232" s="1">
        <v>45659</v>
      </c>
      <c r="C232" s="1">
        <v>45660</v>
      </c>
      <c r="D232" s="4">
        <f>IF(OR(Dispute[[#This Row],[Resolution_Date]]="",E232 = 0), "", E232-C232)</f>
        <v>5</v>
      </c>
      <c r="E232" s="1">
        <v>45665</v>
      </c>
      <c r="F232" t="s">
        <v>25</v>
      </c>
      <c r="G232" t="s">
        <v>16</v>
      </c>
      <c r="H232" t="s">
        <v>30</v>
      </c>
      <c r="I232" s="2">
        <v>952.30999755859375</v>
      </c>
      <c r="J232" t="s">
        <v>14</v>
      </c>
      <c r="K232" t="str">
        <f>IF(Dispute[[#This Row],[Status]] = "In Progress", IF(Dispute[[#This Row],[Time_Line]]&gt;5, "Overdue", "Within SLA"), "Closed")</f>
        <v>Closed</v>
      </c>
    </row>
    <row r="233" spans="1:11" x14ac:dyDescent="0.25">
      <c r="A233" t="s">
        <v>253</v>
      </c>
      <c r="B233" s="1">
        <v>45672</v>
      </c>
      <c r="C233" s="1">
        <v>45679</v>
      </c>
      <c r="D233" s="4">
        <f>IF(OR(Dispute[[#This Row],[Resolution_Date]]="",E233 = 0), "", E233-C233)</f>
        <v>1</v>
      </c>
      <c r="E233" s="1">
        <v>45680</v>
      </c>
      <c r="F233" t="s">
        <v>10</v>
      </c>
      <c r="G233" t="s">
        <v>22</v>
      </c>
      <c r="H233" t="s">
        <v>12</v>
      </c>
      <c r="I233" s="2">
        <v>993.80999755859375</v>
      </c>
      <c r="J233" t="s">
        <v>9</v>
      </c>
      <c r="K233" t="str">
        <f>IF(Dispute[[#This Row],[Status]] = "In Progress", IF(Dispute[[#This Row],[Time_Line]]&gt;5, "Overdue", "Within SLA"), "Closed")</f>
        <v>Closed</v>
      </c>
    </row>
    <row r="234" spans="1:11" x14ac:dyDescent="0.25">
      <c r="A234" t="s">
        <v>254</v>
      </c>
      <c r="B234" s="1">
        <v>45699</v>
      </c>
      <c r="C234" s="1">
        <v>45705</v>
      </c>
      <c r="D234" s="4" t="str">
        <f>IF(OR(Dispute[[#This Row],[Resolution_Date]]="",E234 = 0), "", E234-C234)</f>
        <v/>
      </c>
      <c r="F234" t="s">
        <v>25</v>
      </c>
      <c r="G234" t="s">
        <v>22</v>
      </c>
      <c r="H234" t="s">
        <v>30</v>
      </c>
      <c r="I234" s="2">
        <v>289.83999633789063</v>
      </c>
      <c r="J234" t="s">
        <v>46</v>
      </c>
      <c r="K234" t="str">
        <f>IF(Dispute[[#This Row],[Status]] = "In Progress", IF(Dispute[[#This Row],[Time_Line]]&gt;5, "Overdue", "Within SLA"), "Closed")</f>
        <v>Overdue</v>
      </c>
    </row>
    <row r="235" spans="1:11" x14ac:dyDescent="0.25">
      <c r="A235" t="s">
        <v>255</v>
      </c>
      <c r="B235" s="1">
        <v>45702</v>
      </c>
      <c r="C235" s="1">
        <v>45709</v>
      </c>
      <c r="D235" s="4">
        <f>IF(OR(Dispute[[#This Row],[Resolution_Date]]="",E235 = 0), "", E235-C235)</f>
        <v>3</v>
      </c>
      <c r="E235" s="1">
        <v>45712</v>
      </c>
      <c r="F235" t="s">
        <v>10</v>
      </c>
      <c r="G235" t="s">
        <v>16</v>
      </c>
      <c r="H235" t="s">
        <v>30</v>
      </c>
      <c r="I235" s="2">
        <v>322.1300048828125</v>
      </c>
      <c r="J235" t="s">
        <v>9</v>
      </c>
      <c r="K235" t="str">
        <f>IF(Dispute[[#This Row],[Status]] = "In Progress", IF(Dispute[[#This Row],[Time_Line]]&gt;5, "Overdue", "Within SLA"), "Closed")</f>
        <v>Closed</v>
      </c>
    </row>
    <row r="236" spans="1:11" x14ac:dyDescent="0.25">
      <c r="A236" t="s">
        <v>256</v>
      </c>
      <c r="B236" s="1">
        <v>45674</v>
      </c>
      <c r="C236" s="1">
        <v>45675</v>
      </c>
      <c r="D236" s="4">
        <f>IF(OR(Dispute[[#This Row],[Resolution_Date]]="",E236 = 0), "", E236-C236)</f>
        <v>6</v>
      </c>
      <c r="E236" s="1">
        <v>45681</v>
      </c>
      <c r="F236" t="s">
        <v>10</v>
      </c>
      <c r="G236" t="s">
        <v>16</v>
      </c>
      <c r="H236" t="s">
        <v>19</v>
      </c>
      <c r="I236" s="2">
        <v>963.8599853515625</v>
      </c>
      <c r="J236" t="s">
        <v>9</v>
      </c>
      <c r="K236" t="str">
        <f>IF(Dispute[[#This Row],[Status]] = "In Progress", IF(Dispute[[#This Row],[Time_Line]]&gt;5, "Overdue", "Within SLA"), "Closed")</f>
        <v>Closed</v>
      </c>
    </row>
    <row r="237" spans="1:11" x14ac:dyDescent="0.25">
      <c r="A237" t="s">
        <v>257</v>
      </c>
      <c r="B237" s="1">
        <v>45697</v>
      </c>
      <c r="C237" s="1">
        <v>45699</v>
      </c>
      <c r="D237" s="4" t="str">
        <f>IF(OR(Dispute[[#This Row],[Resolution_Date]]="",E237 = 0), "", E237-C237)</f>
        <v/>
      </c>
      <c r="F237" t="s">
        <v>10</v>
      </c>
      <c r="G237" t="s">
        <v>22</v>
      </c>
      <c r="H237" t="s">
        <v>30</v>
      </c>
      <c r="I237" s="2">
        <v>933.42999267578125</v>
      </c>
      <c r="J237" t="s">
        <v>46</v>
      </c>
      <c r="K237" t="str">
        <f>IF(Dispute[[#This Row],[Status]] = "In Progress", IF(Dispute[[#This Row],[Time_Line]]&gt;5, "Overdue", "Within SLA"), "Closed")</f>
        <v>Overdue</v>
      </c>
    </row>
    <row r="238" spans="1:11" x14ac:dyDescent="0.25">
      <c r="A238" t="s">
        <v>258</v>
      </c>
      <c r="B238" s="1">
        <v>45686</v>
      </c>
      <c r="C238" s="1">
        <v>45690</v>
      </c>
      <c r="D238" s="4">
        <f>IF(OR(Dispute[[#This Row],[Resolution_Date]]="",E238 = 0), "", E238-C238)</f>
        <v>3</v>
      </c>
      <c r="E238" s="1">
        <v>45693</v>
      </c>
      <c r="F238" t="s">
        <v>10</v>
      </c>
      <c r="G238" t="s">
        <v>22</v>
      </c>
      <c r="H238" t="s">
        <v>19</v>
      </c>
      <c r="I238" s="2">
        <v>131.08000183105469</v>
      </c>
      <c r="J238" t="s">
        <v>14</v>
      </c>
      <c r="K238" t="str">
        <f>IF(Dispute[[#This Row],[Status]] = "In Progress", IF(Dispute[[#This Row],[Time_Line]]&gt;5, "Overdue", "Within SLA"), "Closed")</f>
        <v>Closed</v>
      </c>
    </row>
    <row r="239" spans="1:11" x14ac:dyDescent="0.25">
      <c r="A239" t="s">
        <v>259</v>
      </c>
      <c r="B239" s="1">
        <v>45679</v>
      </c>
      <c r="C239" s="1">
        <v>45682</v>
      </c>
      <c r="D239" s="4">
        <f>IF(OR(Dispute[[#This Row],[Resolution_Date]]="",E239 = 0), "", E239-C239)</f>
        <v>3</v>
      </c>
      <c r="E239" s="1">
        <v>45685</v>
      </c>
      <c r="F239" t="s">
        <v>15</v>
      </c>
      <c r="G239" t="s">
        <v>16</v>
      </c>
      <c r="H239" t="s">
        <v>19</v>
      </c>
      <c r="I239" s="2">
        <v>923.30999755859375</v>
      </c>
      <c r="J239" t="s">
        <v>9</v>
      </c>
      <c r="K239" t="str">
        <f>IF(Dispute[[#This Row],[Status]] = "In Progress", IF(Dispute[[#This Row],[Time_Line]]&gt;5, "Overdue", "Within SLA"), "Closed")</f>
        <v>Closed</v>
      </c>
    </row>
    <row r="240" spans="1:11" x14ac:dyDescent="0.25">
      <c r="A240" t="s">
        <v>260</v>
      </c>
      <c r="B240" s="1">
        <v>45715</v>
      </c>
      <c r="C240" s="1">
        <v>45717</v>
      </c>
      <c r="D240" s="4">
        <f>IF(OR(Dispute[[#This Row],[Resolution_Date]]="",E240 = 0), "", E240-C240)</f>
        <v>2</v>
      </c>
      <c r="E240" s="1">
        <v>45719</v>
      </c>
      <c r="F240" t="s">
        <v>10</v>
      </c>
      <c r="G240" t="s">
        <v>16</v>
      </c>
      <c r="H240" t="s">
        <v>23</v>
      </c>
      <c r="I240" s="2">
        <v>540.1099853515625</v>
      </c>
      <c r="J240" t="s">
        <v>9</v>
      </c>
      <c r="K240" t="str">
        <f>IF(Dispute[[#This Row],[Status]] = "In Progress", IF(Dispute[[#This Row],[Time_Line]]&gt;5, "Overdue", "Within SLA"), "Closed")</f>
        <v>Closed</v>
      </c>
    </row>
    <row r="241" spans="1:11" x14ac:dyDescent="0.25">
      <c r="A241" t="s">
        <v>261</v>
      </c>
      <c r="B241" s="1">
        <v>45697</v>
      </c>
      <c r="C241" s="1">
        <v>45703</v>
      </c>
      <c r="D241" s="4">
        <f>IF(OR(Dispute[[#This Row],[Resolution_Date]]="",E241 = 0), "", E241-C241)</f>
        <v>7</v>
      </c>
      <c r="E241" s="1">
        <v>45710</v>
      </c>
      <c r="F241" t="s">
        <v>10</v>
      </c>
      <c r="G241" t="s">
        <v>16</v>
      </c>
      <c r="H241" t="s">
        <v>30</v>
      </c>
      <c r="I241" s="2">
        <v>1025.3599853515625</v>
      </c>
      <c r="J241" t="s">
        <v>14</v>
      </c>
      <c r="K241" t="str">
        <f>IF(Dispute[[#This Row],[Status]] = "In Progress", IF(Dispute[[#This Row],[Time_Line]]&gt;5, "Overdue", "Within SLA"), "Closed")</f>
        <v>Closed</v>
      </c>
    </row>
    <row r="242" spans="1:11" x14ac:dyDescent="0.25">
      <c r="A242" t="s">
        <v>262</v>
      </c>
      <c r="B242" s="1">
        <v>45674</v>
      </c>
      <c r="C242" s="1">
        <v>45676</v>
      </c>
      <c r="D242" s="4">
        <f>IF(OR(Dispute[[#This Row],[Resolution_Date]]="",E242 = 0), "", E242-C242)</f>
        <v>1</v>
      </c>
      <c r="E242" s="1">
        <v>45677</v>
      </c>
      <c r="F242" t="s">
        <v>25</v>
      </c>
      <c r="G242" t="s">
        <v>11</v>
      </c>
      <c r="H242" t="s">
        <v>19</v>
      </c>
      <c r="I242" s="2">
        <v>349.47000122070313</v>
      </c>
      <c r="J242" t="s">
        <v>14</v>
      </c>
      <c r="K242" t="str">
        <f>IF(Dispute[[#This Row],[Status]] = "In Progress", IF(Dispute[[#This Row],[Time_Line]]&gt;5, "Overdue", "Within SLA"), "Closed")</f>
        <v>Closed</v>
      </c>
    </row>
    <row r="243" spans="1:11" x14ac:dyDescent="0.25">
      <c r="A243" t="s">
        <v>263</v>
      </c>
      <c r="B243" s="1">
        <v>45661</v>
      </c>
      <c r="C243" s="1">
        <v>45668</v>
      </c>
      <c r="D243" s="4">
        <f>IF(OR(Dispute[[#This Row],[Resolution_Date]]="",E243 = 0), "", E243-C243)</f>
        <v>7</v>
      </c>
      <c r="E243" s="1">
        <v>45675</v>
      </c>
      <c r="F243" t="s">
        <v>10</v>
      </c>
      <c r="G243" t="s">
        <v>18</v>
      </c>
      <c r="H243" t="s">
        <v>19</v>
      </c>
      <c r="I243" s="2">
        <v>796.8499755859375</v>
      </c>
      <c r="J243" t="s">
        <v>14</v>
      </c>
      <c r="K243" t="str">
        <f>IF(Dispute[[#This Row],[Status]] = "In Progress", IF(Dispute[[#This Row],[Time_Line]]&gt;5, "Overdue", "Within SLA"), "Closed")</f>
        <v>Closed</v>
      </c>
    </row>
    <row r="244" spans="1:11" x14ac:dyDescent="0.25">
      <c r="A244" t="s">
        <v>264</v>
      </c>
      <c r="B244" s="1">
        <v>45709</v>
      </c>
      <c r="C244" s="1">
        <v>45719</v>
      </c>
      <c r="D244" s="4">
        <f>IF(OR(Dispute[[#This Row],[Resolution_Date]]="",E244 = 0), "", E244-C244)</f>
        <v>7</v>
      </c>
      <c r="E244" s="1">
        <v>45726</v>
      </c>
      <c r="F244" t="s">
        <v>25</v>
      </c>
      <c r="G244" t="s">
        <v>11</v>
      </c>
      <c r="H244" t="s">
        <v>30</v>
      </c>
      <c r="I244" s="2">
        <v>584.03997802734375</v>
      </c>
      <c r="J244" t="s">
        <v>14</v>
      </c>
      <c r="K244" t="str">
        <f>IF(Dispute[[#This Row],[Status]] = "In Progress", IF(Dispute[[#This Row],[Time_Line]]&gt;5, "Overdue", "Within SLA"), "Closed")</f>
        <v>Closed</v>
      </c>
    </row>
    <row r="245" spans="1:11" x14ac:dyDescent="0.25">
      <c r="A245" t="s">
        <v>265</v>
      </c>
      <c r="B245" s="1">
        <v>45669</v>
      </c>
      <c r="C245" s="1">
        <v>45671</v>
      </c>
      <c r="D245" s="4">
        <f>IF(OR(Dispute[[#This Row],[Resolution_Date]]="",E245 = 0), "", E245-C245)</f>
        <v>6</v>
      </c>
      <c r="E245" s="1">
        <v>45677</v>
      </c>
      <c r="F245" t="s">
        <v>25</v>
      </c>
      <c r="G245" t="s">
        <v>11</v>
      </c>
      <c r="H245" t="s">
        <v>23</v>
      </c>
      <c r="I245" s="2">
        <v>594.69000244140625</v>
      </c>
      <c r="J245" t="s">
        <v>14</v>
      </c>
      <c r="K245" t="str">
        <f>IF(Dispute[[#This Row],[Status]] = "In Progress", IF(Dispute[[#This Row],[Time_Line]]&gt;5, "Overdue", "Within SLA"), "Closed")</f>
        <v>Closed</v>
      </c>
    </row>
    <row r="246" spans="1:11" x14ac:dyDescent="0.25">
      <c r="A246" t="s">
        <v>266</v>
      </c>
      <c r="B246" s="1">
        <v>45687</v>
      </c>
      <c r="C246" s="1">
        <v>45691</v>
      </c>
      <c r="D246" s="4" t="str">
        <f>IF(OR(Dispute[[#This Row],[Resolution_Date]]="",E246 = 0), "", E246-C246)</f>
        <v/>
      </c>
      <c r="F246" t="s">
        <v>25</v>
      </c>
      <c r="G246" t="s">
        <v>22</v>
      </c>
      <c r="H246" t="s">
        <v>12</v>
      </c>
      <c r="I246" s="2">
        <v>151.74000549316406</v>
      </c>
      <c r="J246" t="s">
        <v>46</v>
      </c>
      <c r="K246" t="str">
        <f>IF(Dispute[[#This Row],[Status]] = "In Progress", IF(Dispute[[#This Row],[Time_Line]]&gt;5, "Overdue", "Within SLA"), "Closed")</f>
        <v>Overdue</v>
      </c>
    </row>
    <row r="247" spans="1:11" x14ac:dyDescent="0.25">
      <c r="A247" t="s">
        <v>267</v>
      </c>
      <c r="B247" s="1">
        <v>45659</v>
      </c>
      <c r="C247" s="1">
        <v>45664</v>
      </c>
      <c r="D247" s="4">
        <f>IF(OR(Dispute[[#This Row],[Resolution_Date]]="",E247 = 0), "", E247-C247)</f>
        <v>6</v>
      </c>
      <c r="E247" s="1">
        <v>45670</v>
      </c>
      <c r="F247" t="s">
        <v>10</v>
      </c>
      <c r="G247" t="s">
        <v>22</v>
      </c>
      <c r="H247" t="s">
        <v>19</v>
      </c>
      <c r="I247" s="2">
        <v>1000.8699951171875</v>
      </c>
      <c r="J247" t="s">
        <v>14</v>
      </c>
      <c r="K247" t="str">
        <f>IF(Dispute[[#This Row],[Status]] = "In Progress", IF(Dispute[[#This Row],[Time_Line]]&gt;5, "Overdue", "Within SLA"), "Closed")</f>
        <v>Closed</v>
      </c>
    </row>
    <row r="248" spans="1:11" x14ac:dyDescent="0.25">
      <c r="A248" t="s">
        <v>268</v>
      </c>
      <c r="B248" s="1">
        <v>45697</v>
      </c>
      <c r="C248" s="1">
        <v>45700</v>
      </c>
      <c r="D248" s="4">
        <f>IF(OR(Dispute[[#This Row],[Resolution_Date]]="",E248 = 0), "", E248-C248)</f>
        <v>3</v>
      </c>
      <c r="E248" s="1">
        <v>45703</v>
      </c>
      <c r="F248" t="s">
        <v>10</v>
      </c>
      <c r="G248" t="s">
        <v>22</v>
      </c>
      <c r="H248" t="s">
        <v>23</v>
      </c>
      <c r="I248" s="2">
        <v>516.20001220703125</v>
      </c>
      <c r="J248" t="s">
        <v>14</v>
      </c>
      <c r="K248" t="str">
        <f>IF(Dispute[[#This Row],[Status]] = "In Progress", IF(Dispute[[#This Row],[Time_Line]]&gt;5, "Overdue", "Within SLA"), "Closed")</f>
        <v>Closed</v>
      </c>
    </row>
    <row r="249" spans="1:11" x14ac:dyDescent="0.25">
      <c r="A249" t="s">
        <v>269</v>
      </c>
      <c r="B249" s="1">
        <v>45680</v>
      </c>
      <c r="C249" s="1">
        <v>45688</v>
      </c>
      <c r="D249" s="4">
        <f>IF(OR(Dispute[[#This Row],[Resolution_Date]]="",E249 = 0), "", E249-C249)</f>
        <v>7</v>
      </c>
      <c r="E249" s="1">
        <v>45695</v>
      </c>
      <c r="F249" t="s">
        <v>10</v>
      </c>
      <c r="G249" t="s">
        <v>18</v>
      </c>
      <c r="H249" t="s">
        <v>12</v>
      </c>
      <c r="I249" s="2">
        <v>1152.6400146484375</v>
      </c>
      <c r="J249" t="s">
        <v>14</v>
      </c>
      <c r="K249" t="str">
        <f>IF(Dispute[[#This Row],[Status]] = "In Progress", IF(Dispute[[#This Row],[Time_Line]]&gt;5, "Overdue", "Within SLA"), "Closed")</f>
        <v>Closed</v>
      </c>
    </row>
    <row r="250" spans="1:11" x14ac:dyDescent="0.25">
      <c r="A250" t="s">
        <v>270</v>
      </c>
      <c r="B250" s="1">
        <v>45707</v>
      </c>
      <c r="C250" s="1">
        <v>45715</v>
      </c>
      <c r="D250" s="4">
        <f>IF(OR(Dispute[[#This Row],[Resolution_Date]]="",E250 = 0), "", E250-C250)</f>
        <v>2</v>
      </c>
      <c r="E250" s="1">
        <v>45717</v>
      </c>
      <c r="F250" t="s">
        <v>10</v>
      </c>
      <c r="G250" t="s">
        <v>22</v>
      </c>
      <c r="H250" t="s">
        <v>19</v>
      </c>
      <c r="I250" s="2">
        <v>113.08000183105469</v>
      </c>
      <c r="J250" t="s">
        <v>9</v>
      </c>
      <c r="K250" t="str">
        <f>IF(Dispute[[#This Row],[Status]] = "In Progress", IF(Dispute[[#This Row],[Time_Line]]&gt;5, "Overdue", "Within SLA"), "Closed")</f>
        <v>Closed</v>
      </c>
    </row>
    <row r="251" spans="1:11" x14ac:dyDescent="0.25">
      <c r="A251" t="s">
        <v>271</v>
      </c>
      <c r="B251" s="1">
        <v>45708</v>
      </c>
      <c r="C251" s="1">
        <v>45709</v>
      </c>
      <c r="D251" s="4">
        <f>IF(OR(Dispute[[#This Row],[Resolution_Date]]="",E251 = 0), "", E251-C251)</f>
        <v>2</v>
      </c>
      <c r="E251" s="1">
        <v>45711</v>
      </c>
      <c r="F251" t="s">
        <v>15</v>
      </c>
      <c r="G251" t="s">
        <v>16</v>
      </c>
      <c r="H251" t="s">
        <v>23</v>
      </c>
      <c r="I251" s="2">
        <v>109.73999786376953</v>
      </c>
      <c r="J251" t="s">
        <v>9</v>
      </c>
      <c r="K251" t="str">
        <f>IF(Dispute[[#This Row],[Status]] = "In Progress", IF(Dispute[[#This Row],[Time_Line]]&gt;5, "Overdue", "Within SLA"), "Closed")</f>
        <v>Closed</v>
      </c>
    </row>
    <row r="252" spans="1:11" x14ac:dyDescent="0.25">
      <c r="A252" t="s">
        <v>272</v>
      </c>
      <c r="B252" s="1">
        <v>45682</v>
      </c>
      <c r="C252" s="1">
        <v>45689</v>
      </c>
      <c r="D252" s="4">
        <f>IF(OR(Dispute[[#This Row],[Resolution_Date]]="",E252 = 0), "", E252-C252)</f>
        <v>4</v>
      </c>
      <c r="E252" s="1">
        <v>45693</v>
      </c>
      <c r="F252" t="s">
        <v>15</v>
      </c>
      <c r="G252" t="s">
        <v>18</v>
      </c>
      <c r="H252" t="s">
        <v>12</v>
      </c>
      <c r="I252" s="2">
        <v>634.280029296875</v>
      </c>
      <c r="J252" t="s">
        <v>9</v>
      </c>
      <c r="K252" t="str">
        <f>IF(Dispute[[#This Row],[Status]] = "In Progress", IF(Dispute[[#This Row],[Time_Line]]&gt;5, "Overdue", "Within SLA"), "Closed")</f>
        <v>Closed</v>
      </c>
    </row>
    <row r="253" spans="1:11" x14ac:dyDescent="0.25">
      <c r="A253" t="s">
        <v>273</v>
      </c>
      <c r="B253" s="1">
        <v>45693</v>
      </c>
      <c r="C253" s="1">
        <v>45702</v>
      </c>
      <c r="D253" s="4">
        <f>IF(OR(Dispute[[#This Row],[Resolution_Date]]="",E253 = 0), "", E253-C253)</f>
        <v>2</v>
      </c>
      <c r="E253" s="1">
        <v>45704</v>
      </c>
      <c r="F253" t="s">
        <v>15</v>
      </c>
      <c r="G253" t="s">
        <v>11</v>
      </c>
      <c r="H253" t="s">
        <v>23</v>
      </c>
      <c r="I253" s="2">
        <v>566.280029296875</v>
      </c>
      <c r="J253" t="s">
        <v>9</v>
      </c>
      <c r="K253" t="str">
        <f>IF(Dispute[[#This Row],[Status]] = "In Progress", IF(Dispute[[#This Row],[Time_Line]]&gt;5, "Overdue", "Within SLA"), "Closed")</f>
        <v>Closed</v>
      </c>
    </row>
    <row r="254" spans="1:11" x14ac:dyDescent="0.25">
      <c r="A254" t="s">
        <v>274</v>
      </c>
      <c r="B254" s="1">
        <v>45705</v>
      </c>
      <c r="C254" s="1">
        <v>45711</v>
      </c>
      <c r="D254" s="4" t="str">
        <f>IF(OR(Dispute[[#This Row],[Resolution_Date]]="",E254 = 0), "", E254-C254)</f>
        <v/>
      </c>
      <c r="F254" t="s">
        <v>15</v>
      </c>
      <c r="G254" t="s">
        <v>22</v>
      </c>
      <c r="H254" t="s">
        <v>30</v>
      </c>
      <c r="I254" s="2">
        <v>220.77999877929688</v>
      </c>
      <c r="J254" t="s">
        <v>46</v>
      </c>
      <c r="K254" t="str">
        <f>IF(Dispute[[#This Row],[Status]] = "In Progress", IF(Dispute[[#This Row],[Time_Line]]&gt;5, "Overdue", "Within SLA"), "Closed")</f>
        <v>Overdue</v>
      </c>
    </row>
    <row r="255" spans="1:11" x14ac:dyDescent="0.25">
      <c r="A255" t="s">
        <v>275</v>
      </c>
      <c r="B255" s="1">
        <v>45705</v>
      </c>
      <c r="C255" s="1">
        <v>45712</v>
      </c>
      <c r="D255" s="4">
        <f>IF(OR(Dispute[[#This Row],[Resolution_Date]]="",E255 = 0), "", E255-C255)</f>
        <v>1</v>
      </c>
      <c r="E255" s="1">
        <v>45713</v>
      </c>
      <c r="F255" t="s">
        <v>10</v>
      </c>
      <c r="G255" t="s">
        <v>16</v>
      </c>
      <c r="H255" t="s">
        <v>19</v>
      </c>
      <c r="I255" s="2">
        <v>995.41998291015625</v>
      </c>
      <c r="J255" t="s">
        <v>9</v>
      </c>
      <c r="K255" t="str">
        <f>IF(Dispute[[#This Row],[Status]] = "In Progress", IF(Dispute[[#This Row],[Time_Line]]&gt;5, "Overdue", "Within SLA"), "Closed")</f>
        <v>Closed</v>
      </c>
    </row>
    <row r="256" spans="1:11" x14ac:dyDescent="0.25">
      <c r="A256" t="s">
        <v>276</v>
      </c>
      <c r="B256" s="1">
        <v>45679</v>
      </c>
      <c r="C256" s="1">
        <v>45688</v>
      </c>
      <c r="D256" s="4">
        <f>IF(OR(Dispute[[#This Row],[Resolution_Date]]="",E256 = 0), "", E256-C256)</f>
        <v>2</v>
      </c>
      <c r="E256" s="1">
        <v>45690</v>
      </c>
      <c r="F256" t="s">
        <v>15</v>
      </c>
      <c r="G256" t="s">
        <v>11</v>
      </c>
      <c r="H256" t="s">
        <v>12</v>
      </c>
      <c r="I256" s="2">
        <v>59.200000762939453</v>
      </c>
      <c r="J256" t="s">
        <v>14</v>
      </c>
      <c r="K256" t="str">
        <f>IF(Dispute[[#This Row],[Status]] = "In Progress", IF(Dispute[[#This Row],[Time_Line]]&gt;5, "Overdue", "Within SLA"), "Closed")</f>
        <v>Closed</v>
      </c>
    </row>
    <row r="257" spans="1:11" x14ac:dyDescent="0.25">
      <c r="A257" t="s">
        <v>277</v>
      </c>
      <c r="B257" s="1">
        <v>45668</v>
      </c>
      <c r="C257" s="1">
        <v>45676</v>
      </c>
      <c r="D257" s="4">
        <f>IF(OR(Dispute[[#This Row],[Resolution_Date]]="",E257 = 0), "", E257-C257)</f>
        <v>6</v>
      </c>
      <c r="E257" s="1">
        <v>45682</v>
      </c>
      <c r="F257" t="s">
        <v>15</v>
      </c>
      <c r="G257" t="s">
        <v>18</v>
      </c>
      <c r="H257" t="s">
        <v>12</v>
      </c>
      <c r="I257" s="2">
        <v>750.239990234375</v>
      </c>
      <c r="J257" t="s">
        <v>14</v>
      </c>
      <c r="K257" t="str">
        <f>IF(Dispute[[#This Row],[Status]] = "In Progress", IF(Dispute[[#This Row],[Time_Line]]&gt;5, "Overdue", "Within SLA"), "Closed")</f>
        <v>Closed</v>
      </c>
    </row>
    <row r="258" spans="1:11" x14ac:dyDescent="0.25">
      <c r="A258" t="s">
        <v>278</v>
      </c>
      <c r="B258" s="1">
        <v>45686</v>
      </c>
      <c r="C258" s="1">
        <v>45694</v>
      </c>
      <c r="D258" s="4" t="str">
        <f>IF(OR(Dispute[[#This Row],[Resolution_Date]]="",E258 = 0), "", E258-C258)</f>
        <v/>
      </c>
      <c r="F258" t="s">
        <v>15</v>
      </c>
      <c r="G258" t="s">
        <v>18</v>
      </c>
      <c r="H258" t="s">
        <v>23</v>
      </c>
      <c r="I258" s="2">
        <v>331.67001342773438</v>
      </c>
      <c r="J258" t="s">
        <v>46</v>
      </c>
      <c r="K258" t="str">
        <f>IF(Dispute[[#This Row],[Status]] = "In Progress", IF(Dispute[[#This Row],[Time_Line]]&gt;5, "Overdue", "Within SLA"), "Closed")</f>
        <v>Overdue</v>
      </c>
    </row>
    <row r="259" spans="1:11" x14ac:dyDescent="0.25">
      <c r="A259" t="s">
        <v>279</v>
      </c>
      <c r="B259" s="1">
        <v>45666</v>
      </c>
      <c r="C259" s="1">
        <v>45675</v>
      </c>
      <c r="D259" s="4">
        <f>IF(OR(Dispute[[#This Row],[Resolution_Date]]="",E259 = 0), "", E259-C259)</f>
        <v>3</v>
      </c>
      <c r="E259" s="1">
        <v>45678</v>
      </c>
      <c r="F259" t="s">
        <v>25</v>
      </c>
      <c r="G259" t="s">
        <v>16</v>
      </c>
      <c r="H259" t="s">
        <v>30</v>
      </c>
      <c r="I259" s="2">
        <v>97.970001220703125</v>
      </c>
      <c r="J259" t="s">
        <v>14</v>
      </c>
      <c r="K259" t="str">
        <f>IF(Dispute[[#This Row],[Status]] = "In Progress", IF(Dispute[[#This Row],[Time_Line]]&gt;5, "Overdue", "Within SLA"), "Closed")</f>
        <v>Closed</v>
      </c>
    </row>
    <row r="260" spans="1:11" x14ac:dyDescent="0.25">
      <c r="A260" t="s">
        <v>280</v>
      </c>
      <c r="B260" s="1">
        <v>45692</v>
      </c>
      <c r="C260" s="1">
        <v>45693</v>
      </c>
      <c r="D260" s="4">
        <f>IF(OR(Dispute[[#This Row],[Resolution_Date]]="",E260 = 0), "", E260-C260)</f>
        <v>5</v>
      </c>
      <c r="E260" s="1">
        <v>45698</v>
      </c>
      <c r="F260" t="s">
        <v>25</v>
      </c>
      <c r="G260" t="s">
        <v>11</v>
      </c>
      <c r="H260" t="s">
        <v>19</v>
      </c>
      <c r="I260" s="2">
        <v>864.8499755859375</v>
      </c>
      <c r="J260" t="s">
        <v>14</v>
      </c>
      <c r="K260" t="str">
        <f>IF(Dispute[[#This Row],[Status]] = "In Progress", IF(Dispute[[#This Row],[Time_Line]]&gt;5, "Overdue", "Within SLA"), "Closed")</f>
        <v>Closed</v>
      </c>
    </row>
    <row r="261" spans="1:11" x14ac:dyDescent="0.25">
      <c r="A261" t="s">
        <v>281</v>
      </c>
      <c r="B261" s="1">
        <v>45710</v>
      </c>
      <c r="C261" s="1">
        <v>45717</v>
      </c>
      <c r="D261" s="4">
        <f>IF(OR(Dispute[[#This Row],[Resolution_Date]]="",E261 = 0), "", E261-C261)</f>
        <v>2</v>
      </c>
      <c r="E261" s="1">
        <v>45719</v>
      </c>
      <c r="F261" t="s">
        <v>10</v>
      </c>
      <c r="G261" t="s">
        <v>16</v>
      </c>
      <c r="H261" t="s">
        <v>19</v>
      </c>
      <c r="I261" s="2">
        <v>603.8800048828125</v>
      </c>
      <c r="J261" t="s">
        <v>9</v>
      </c>
      <c r="K261" t="str">
        <f>IF(Dispute[[#This Row],[Status]] = "In Progress", IF(Dispute[[#This Row],[Time_Line]]&gt;5, "Overdue", "Within SLA"), "Closed")</f>
        <v>Closed</v>
      </c>
    </row>
    <row r="262" spans="1:11" x14ac:dyDescent="0.25">
      <c r="A262" t="s">
        <v>282</v>
      </c>
      <c r="B262" s="1">
        <v>45694</v>
      </c>
      <c r="C262" s="1">
        <v>45700</v>
      </c>
      <c r="D262" s="4">
        <f>IF(OR(Dispute[[#This Row],[Resolution_Date]]="",E262 = 0), "", E262-C262)</f>
        <v>2</v>
      </c>
      <c r="E262" s="1">
        <v>45702</v>
      </c>
      <c r="F262" t="s">
        <v>15</v>
      </c>
      <c r="G262" t="s">
        <v>22</v>
      </c>
      <c r="H262" t="s">
        <v>19</v>
      </c>
      <c r="I262" s="2">
        <v>610.55999755859375</v>
      </c>
      <c r="J262" t="s">
        <v>9</v>
      </c>
      <c r="K262" t="str">
        <f>IF(Dispute[[#This Row],[Status]] = "In Progress", IF(Dispute[[#This Row],[Time_Line]]&gt;5, "Overdue", "Within SLA"), "Closed")</f>
        <v>Closed</v>
      </c>
    </row>
    <row r="263" spans="1:11" x14ac:dyDescent="0.25">
      <c r="A263" t="s">
        <v>283</v>
      </c>
      <c r="B263" s="1">
        <v>45675</v>
      </c>
      <c r="C263" s="1">
        <v>45677</v>
      </c>
      <c r="D263" s="4" t="str">
        <f>IF(OR(Dispute[[#This Row],[Resolution_Date]]="",E263 = 0), "", E263-C263)</f>
        <v/>
      </c>
      <c r="F263" t="s">
        <v>25</v>
      </c>
      <c r="G263" t="s">
        <v>16</v>
      </c>
      <c r="H263" t="s">
        <v>30</v>
      </c>
      <c r="I263" s="2">
        <v>921.6400146484375</v>
      </c>
      <c r="J263" t="s">
        <v>46</v>
      </c>
      <c r="K263" t="str">
        <f>IF(Dispute[[#This Row],[Status]] = "In Progress", IF(Dispute[[#This Row],[Time_Line]]&gt;5, "Overdue", "Within SLA"), "Closed")</f>
        <v>Overdue</v>
      </c>
    </row>
    <row r="264" spans="1:11" x14ac:dyDescent="0.25">
      <c r="A264" t="s">
        <v>284</v>
      </c>
      <c r="B264" s="1">
        <v>45698</v>
      </c>
      <c r="C264" s="1">
        <v>45707</v>
      </c>
      <c r="D264" s="4">
        <f>IF(OR(Dispute[[#This Row],[Resolution_Date]]="",E264 = 0), "", E264-C264)</f>
        <v>5</v>
      </c>
      <c r="E264" s="1">
        <v>45712</v>
      </c>
      <c r="F264" t="s">
        <v>15</v>
      </c>
      <c r="G264" t="s">
        <v>16</v>
      </c>
      <c r="H264" t="s">
        <v>30</v>
      </c>
      <c r="I264" s="2">
        <v>168.86000061035156</v>
      </c>
      <c r="J264" t="s">
        <v>9</v>
      </c>
      <c r="K264" t="str">
        <f>IF(Dispute[[#This Row],[Status]] = "In Progress", IF(Dispute[[#This Row],[Time_Line]]&gt;5, "Overdue", "Within SLA"), "Closed")</f>
        <v>Closed</v>
      </c>
    </row>
    <row r="265" spans="1:11" x14ac:dyDescent="0.25">
      <c r="A265" t="s">
        <v>285</v>
      </c>
      <c r="B265" s="1">
        <v>45709</v>
      </c>
      <c r="C265" s="1">
        <v>45710</v>
      </c>
      <c r="D265" s="4">
        <f>IF(OR(Dispute[[#This Row],[Resolution_Date]]="",E265 = 0), "", E265-C265)</f>
        <v>3</v>
      </c>
      <c r="E265" s="1">
        <v>45713</v>
      </c>
      <c r="F265" t="s">
        <v>10</v>
      </c>
      <c r="G265" t="s">
        <v>22</v>
      </c>
      <c r="H265" t="s">
        <v>12</v>
      </c>
      <c r="I265" s="2">
        <v>480.04998779296875</v>
      </c>
      <c r="J265" t="s">
        <v>9</v>
      </c>
      <c r="K265" t="str">
        <f>IF(Dispute[[#This Row],[Status]] = "In Progress", IF(Dispute[[#This Row],[Time_Line]]&gt;5, "Overdue", "Within SLA"), "Closed")</f>
        <v>Closed</v>
      </c>
    </row>
    <row r="266" spans="1:11" x14ac:dyDescent="0.25">
      <c r="A266" t="s">
        <v>286</v>
      </c>
      <c r="B266" s="1">
        <v>45691</v>
      </c>
      <c r="C266" s="1">
        <v>45696</v>
      </c>
      <c r="D266" s="4">
        <f>IF(OR(Dispute[[#This Row],[Resolution_Date]]="",E266 = 0), "", E266-C266)</f>
        <v>3</v>
      </c>
      <c r="E266" s="1">
        <v>45699</v>
      </c>
      <c r="F266" t="s">
        <v>25</v>
      </c>
      <c r="G266" t="s">
        <v>11</v>
      </c>
      <c r="H266" t="s">
        <v>30</v>
      </c>
      <c r="I266" s="2">
        <v>213.69999694824219</v>
      </c>
      <c r="J266" t="s">
        <v>14</v>
      </c>
      <c r="K266" t="str">
        <f>IF(Dispute[[#This Row],[Status]] = "In Progress", IF(Dispute[[#This Row],[Time_Line]]&gt;5, "Overdue", "Within SLA"), "Closed")</f>
        <v>Closed</v>
      </c>
    </row>
    <row r="267" spans="1:11" x14ac:dyDescent="0.25">
      <c r="A267" t="s">
        <v>287</v>
      </c>
      <c r="B267" s="1">
        <v>45672</v>
      </c>
      <c r="C267" s="1">
        <v>45678</v>
      </c>
      <c r="D267" s="4" t="str">
        <f>IF(OR(Dispute[[#This Row],[Resolution_Date]]="",E267 = 0), "", E267-C267)</f>
        <v/>
      </c>
      <c r="F267" t="s">
        <v>10</v>
      </c>
      <c r="G267" t="s">
        <v>18</v>
      </c>
      <c r="H267" t="s">
        <v>23</v>
      </c>
      <c r="I267" s="2">
        <v>402.67001342773438</v>
      </c>
      <c r="J267" t="s">
        <v>46</v>
      </c>
      <c r="K267" t="str">
        <f>IF(Dispute[[#This Row],[Status]] = "In Progress", IF(Dispute[[#This Row],[Time_Line]]&gt;5, "Overdue", "Within SLA"), "Closed")</f>
        <v>Overdue</v>
      </c>
    </row>
    <row r="268" spans="1:11" x14ac:dyDescent="0.25">
      <c r="A268" t="s">
        <v>288</v>
      </c>
      <c r="B268" s="1">
        <v>45661</v>
      </c>
      <c r="C268" s="1">
        <v>45662</v>
      </c>
      <c r="D268" s="4" t="str">
        <f>IF(OR(Dispute[[#This Row],[Resolution_Date]]="",E268 = 0), "", E268-C268)</f>
        <v/>
      </c>
      <c r="F268" t="s">
        <v>10</v>
      </c>
      <c r="G268" t="s">
        <v>11</v>
      </c>
      <c r="H268" t="s">
        <v>12</v>
      </c>
      <c r="I268" s="2">
        <v>33.340000152587891</v>
      </c>
      <c r="J268" t="s">
        <v>46</v>
      </c>
      <c r="K268" t="str">
        <f>IF(Dispute[[#This Row],[Status]] = "In Progress", IF(Dispute[[#This Row],[Time_Line]]&gt;5, "Overdue", "Within SLA"), "Closed")</f>
        <v>Overdue</v>
      </c>
    </row>
    <row r="269" spans="1:11" x14ac:dyDescent="0.25">
      <c r="A269" t="s">
        <v>289</v>
      </c>
      <c r="B269" s="1">
        <v>45678</v>
      </c>
      <c r="C269" s="1">
        <v>45681</v>
      </c>
      <c r="D269" s="4">
        <f>IF(OR(Dispute[[#This Row],[Resolution_Date]]="",E269 = 0), "", E269-C269)</f>
        <v>5</v>
      </c>
      <c r="E269" s="1">
        <v>45686</v>
      </c>
      <c r="F269" t="s">
        <v>10</v>
      </c>
      <c r="G269" t="s">
        <v>18</v>
      </c>
      <c r="H269" t="s">
        <v>23</v>
      </c>
      <c r="I269" s="2">
        <v>114.12999725341797</v>
      </c>
      <c r="J269" t="s">
        <v>9</v>
      </c>
      <c r="K269" t="str">
        <f>IF(Dispute[[#This Row],[Status]] = "In Progress", IF(Dispute[[#This Row],[Time_Line]]&gt;5, "Overdue", "Within SLA"), "Closed")</f>
        <v>Closed</v>
      </c>
    </row>
    <row r="270" spans="1:11" x14ac:dyDescent="0.25">
      <c r="A270" t="s">
        <v>290</v>
      </c>
      <c r="B270" s="1">
        <v>45711</v>
      </c>
      <c r="C270" s="1">
        <v>45714</v>
      </c>
      <c r="D270" s="4">
        <f>IF(OR(Dispute[[#This Row],[Resolution_Date]]="",E270 = 0), "", E270-C270)</f>
        <v>4</v>
      </c>
      <c r="E270" s="1">
        <v>45718</v>
      </c>
      <c r="F270" t="s">
        <v>10</v>
      </c>
      <c r="G270" t="s">
        <v>16</v>
      </c>
      <c r="H270" t="s">
        <v>23</v>
      </c>
      <c r="I270" s="2">
        <v>115.62999725341797</v>
      </c>
      <c r="J270" t="s">
        <v>9</v>
      </c>
      <c r="K270" t="str">
        <f>IF(Dispute[[#This Row],[Status]] = "In Progress", IF(Dispute[[#This Row],[Time_Line]]&gt;5, "Overdue", "Within SLA"), "Closed")</f>
        <v>Closed</v>
      </c>
    </row>
    <row r="271" spans="1:11" x14ac:dyDescent="0.25">
      <c r="A271" t="s">
        <v>291</v>
      </c>
      <c r="B271" s="1">
        <v>45707</v>
      </c>
      <c r="C271" s="1">
        <v>45715</v>
      </c>
      <c r="D271" s="4">
        <f>IF(OR(Dispute[[#This Row],[Resolution_Date]]="",E271 = 0), "", E271-C271)</f>
        <v>5</v>
      </c>
      <c r="E271" s="1">
        <v>45720</v>
      </c>
      <c r="F271" t="s">
        <v>10</v>
      </c>
      <c r="G271" t="s">
        <v>18</v>
      </c>
      <c r="H271" t="s">
        <v>23</v>
      </c>
      <c r="I271" s="2">
        <v>1099.760009765625</v>
      </c>
      <c r="J271" t="s">
        <v>9</v>
      </c>
      <c r="K271" t="str">
        <f>IF(Dispute[[#This Row],[Status]] = "In Progress", IF(Dispute[[#This Row],[Time_Line]]&gt;5, "Overdue", "Within SLA"), "Closed")</f>
        <v>Closed</v>
      </c>
    </row>
    <row r="272" spans="1:11" x14ac:dyDescent="0.25">
      <c r="A272" t="s">
        <v>292</v>
      </c>
      <c r="B272" s="1">
        <v>45710</v>
      </c>
      <c r="C272" s="1">
        <v>45717</v>
      </c>
      <c r="D272" s="4">
        <f>IF(OR(Dispute[[#This Row],[Resolution_Date]]="",E272 = 0), "", E272-C272)</f>
        <v>7</v>
      </c>
      <c r="E272" s="1">
        <v>45724</v>
      </c>
      <c r="F272" t="s">
        <v>25</v>
      </c>
      <c r="G272" t="s">
        <v>16</v>
      </c>
      <c r="H272" t="s">
        <v>12</v>
      </c>
      <c r="I272" s="2">
        <v>237.22000122070313</v>
      </c>
      <c r="J272" t="s">
        <v>9</v>
      </c>
      <c r="K272" t="str">
        <f>IF(Dispute[[#This Row],[Status]] = "In Progress", IF(Dispute[[#This Row],[Time_Line]]&gt;5, "Overdue", "Within SLA"), "Closed")</f>
        <v>Closed</v>
      </c>
    </row>
    <row r="273" spans="1:11" x14ac:dyDescent="0.25">
      <c r="A273" t="s">
        <v>293</v>
      </c>
      <c r="B273" s="1">
        <v>45700</v>
      </c>
      <c r="C273" s="1">
        <v>45707</v>
      </c>
      <c r="D273" s="4">
        <f>IF(OR(Dispute[[#This Row],[Resolution_Date]]="",E273 = 0), "", E273-C273)</f>
        <v>1</v>
      </c>
      <c r="E273" s="1">
        <v>45708</v>
      </c>
      <c r="F273" t="s">
        <v>10</v>
      </c>
      <c r="G273" t="s">
        <v>11</v>
      </c>
      <c r="H273" t="s">
        <v>19</v>
      </c>
      <c r="I273" s="2">
        <v>1063.989990234375</v>
      </c>
      <c r="J273" t="s">
        <v>14</v>
      </c>
      <c r="K273" t="str">
        <f>IF(Dispute[[#This Row],[Status]] = "In Progress", IF(Dispute[[#This Row],[Time_Line]]&gt;5, "Overdue", "Within SLA"), "Closed")</f>
        <v>Closed</v>
      </c>
    </row>
    <row r="274" spans="1:11" x14ac:dyDescent="0.25">
      <c r="A274" t="s">
        <v>294</v>
      </c>
      <c r="B274" s="1">
        <v>45685</v>
      </c>
      <c r="C274" s="1">
        <v>45695</v>
      </c>
      <c r="D274" s="4">
        <f>IF(OR(Dispute[[#This Row],[Resolution_Date]]="",E274 = 0), "", E274-C274)</f>
        <v>7</v>
      </c>
      <c r="E274" s="1">
        <v>45702</v>
      </c>
      <c r="F274" t="s">
        <v>15</v>
      </c>
      <c r="G274" t="s">
        <v>18</v>
      </c>
      <c r="H274" t="s">
        <v>30</v>
      </c>
      <c r="I274" s="2">
        <v>1137.719970703125</v>
      </c>
      <c r="J274" t="s">
        <v>9</v>
      </c>
      <c r="K274" t="str">
        <f>IF(Dispute[[#This Row],[Status]] = "In Progress", IF(Dispute[[#This Row],[Time_Line]]&gt;5, "Overdue", "Within SLA"), "Closed")</f>
        <v>Closed</v>
      </c>
    </row>
    <row r="275" spans="1:11" x14ac:dyDescent="0.25">
      <c r="A275" t="s">
        <v>295</v>
      </c>
      <c r="B275" s="1">
        <v>45712</v>
      </c>
      <c r="C275" s="1">
        <v>45721</v>
      </c>
      <c r="D275" s="4" t="str">
        <f>IF(OR(Dispute[[#This Row],[Resolution_Date]]="",E275 = 0), "", E275-C275)</f>
        <v/>
      </c>
      <c r="F275" t="s">
        <v>10</v>
      </c>
      <c r="G275" t="s">
        <v>22</v>
      </c>
      <c r="H275" t="s">
        <v>23</v>
      </c>
      <c r="I275" s="2">
        <v>382.8900146484375</v>
      </c>
      <c r="J275" t="s">
        <v>46</v>
      </c>
      <c r="K275" t="str">
        <f>IF(Dispute[[#This Row],[Status]] = "In Progress", IF(Dispute[[#This Row],[Time_Line]]&gt;5, "Overdue", "Within SLA"), "Closed")</f>
        <v>Overdue</v>
      </c>
    </row>
    <row r="276" spans="1:11" x14ac:dyDescent="0.25">
      <c r="A276" t="s">
        <v>296</v>
      </c>
      <c r="B276" s="1">
        <v>45689</v>
      </c>
      <c r="C276" s="1">
        <v>45696</v>
      </c>
      <c r="D276" s="4">
        <f>IF(OR(Dispute[[#This Row],[Resolution_Date]]="",E276 = 0), "", E276-C276)</f>
        <v>3</v>
      </c>
      <c r="E276" s="1">
        <v>45699</v>
      </c>
      <c r="F276" t="s">
        <v>15</v>
      </c>
      <c r="G276" t="s">
        <v>18</v>
      </c>
      <c r="H276" t="s">
        <v>30</v>
      </c>
      <c r="I276" s="2">
        <v>803.6099853515625</v>
      </c>
      <c r="J276" t="s">
        <v>9</v>
      </c>
      <c r="K276" t="str">
        <f>IF(Dispute[[#This Row],[Status]] = "In Progress", IF(Dispute[[#This Row],[Time_Line]]&gt;5, "Overdue", "Within SLA"), "Closed")</f>
        <v>Closed</v>
      </c>
    </row>
    <row r="277" spans="1:11" x14ac:dyDescent="0.25">
      <c r="A277" t="s">
        <v>297</v>
      </c>
      <c r="B277" s="1">
        <v>45681</v>
      </c>
      <c r="C277" s="1">
        <v>45686</v>
      </c>
      <c r="D277" s="4">
        <f>IF(OR(Dispute[[#This Row],[Resolution_Date]]="",E277 = 0), "", E277-C277)</f>
        <v>6</v>
      </c>
      <c r="E277" s="1">
        <v>45692</v>
      </c>
      <c r="F277" t="s">
        <v>15</v>
      </c>
      <c r="G277" t="s">
        <v>11</v>
      </c>
      <c r="H277" t="s">
        <v>19</v>
      </c>
      <c r="I277" s="2">
        <v>1070.1199951171875</v>
      </c>
      <c r="J277" t="s">
        <v>14</v>
      </c>
      <c r="K277" t="str">
        <f>IF(Dispute[[#This Row],[Status]] = "In Progress", IF(Dispute[[#This Row],[Time_Line]]&gt;5, "Overdue", "Within SLA"), "Closed")</f>
        <v>Closed</v>
      </c>
    </row>
    <row r="278" spans="1:11" x14ac:dyDescent="0.25">
      <c r="A278" t="s">
        <v>298</v>
      </c>
      <c r="B278" s="1">
        <v>45697</v>
      </c>
      <c r="C278" s="1">
        <v>45701</v>
      </c>
      <c r="D278" s="4">
        <f>IF(OR(Dispute[[#This Row],[Resolution_Date]]="",E278 = 0), "", E278-C278)</f>
        <v>3</v>
      </c>
      <c r="E278" s="1">
        <v>45704</v>
      </c>
      <c r="F278" t="s">
        <v>15</v>
      </c>
      <c r="G278" t="s">
        <v>18</v>
      </c>
      <c r="H278" t="s">
        <v>30</v>
      </c>
      <c r="I278" s="2">
        <v>1043.800048828125</v>
      </c>
      <c r="J278" t="s">
        <v>14</v>
      </c>
      <c r="K278" t="str">
        <f>IF(Dispute[[#This Row],[Status]] = "In Progress", IF(Dispute[[#This Row],[Time_Line]]&gt;5, "Overdue", "Within SLA"), "Closed")</f>
        <v>Closed</v>
      </c>
    </row>
    <row r="279" spans="1:11" x14ac:dyDescent="0.25">
      <c r="A279" t="s">
        <v>299</v>
      </c>
      <c r="B279" s="1">
        <v>45663</v>
      </c>
      <c r="C279" s="1">
        <v>45669</v>
      </c>
      <c r="D279" s="4">
        <f>IF(OR(Dispute[[#This Row],[Resolution_Date]]="",E279 = 0), "", E279-C279)</f>
        <v>1</v>
      </c>
      <c r="E279" s="1">
        <v>45670</v>
      </c>
      <c r="F279" t="s">
        <v>25</v>
      </c>
      <c r="G279" t="s">
        <v>16</v>
      </c>
      <c r="H279" t="s">
        <v>19</v>
      </c>
      <c r="I279" s="2">
        <v>413.77999877929688</v>
      </c>
      <c r="J279" t="s">
        <v>14</v>
      </c>
      <c r="K279" t="str">
        <f>IF(Dispute[[#This Row],[Status]] = "In Progress", IF(Dispute[[#This Row],[Time_Line]]&gt;5, "Overdue", "Within SLA"), "Closed")</f>
        <v>Closed</v>
      </c>
    </row>
    <row r="280" spans="1:11" x14ac:dyDescent="0.25">
      <c r="A280" t="s">
        <v>300</v>
      </c>
      <c r="B280" s="1">
        <v>45689</v>
      </c>
      <c r="C280" s="1">
        <v>45697</v>
      </c>
      <c r="D280" s="4">
        <f>IF(OR(Dispute[[#This Row],[Resolution_Date]]="",E280 = 0), "", E280-C280)</f>
        <v>5</v>
      </c>
      <c r="E280" s="1">
        <v>45702</v>
      </c>
      <c r="F280" t="s">
        <v>10</v>
      </c>
      <c r="G280" t="s">
        <v>18</v>
      </c>
      <c r="H280" t="s">
        <v>19</v>
      </c>
      <c r="I280" s="2">
        <v>758.91998291015625</v>
      </c>
      <c r="J280" t="s">
        <v>14</v>
      </c>
      <c r="K280" t="str">
        <f>IF(Dispute[[#This Row],[Status]] = "In Progress", IF(Dispute[[#This Row],[Time_Line]]&gt;5, "Overdue", "Within SLA"), "Closed")</f>
        <v>Closed</v>
      </c>
    </row>
    <row r="281" spans="1:11" x14ac:dyDescent="0.25">
      <c r="A281" t="s">
        <v>301</v>
      </c>
      <c r="B281" s="1">
        <v>45710</v>
      </c>
      <c r="C281" s="1">
        <v>45712</v>
      </c>
      <c r="D281" s="4" t="str">
        <f>IF(OR(Dispute[[#This Row],[Resolution_Date]]="",E281 = 0), "", E281-C281)</f>
        <v/>
      </c>
      <c r="F281" t="s">
        <v>25</v>
      </c>
      <c r="G281" t="s">
        <v>18</v>
      </c>
      <c r="H281" t="s">
        <v>23</v>
      </c>
      <c r="I281" s="2">
        <v>943.53997802734375</v>
      </c>
      <c r="J281" t="s">
        <v>46</v>
      </c>
      <c r="K281" t="str">
        <f>IF(Dispute[[#This Row],[Status]] = "In Progress", IF(Dispute[[#This Row],[Time_Line]]&gt;5, "Overdue", "Within SLA"), "Closed")</f>
        <v>Overdue</v>
      </c>
    </row>
    <row r="282" spans="1:11" x14ac:dyDescent="0.25">
      <c r="A282" t="s">
        <v>302</v>
      </c>
      <c r="B282" s="1">
        <v>45663</v>
      </c>
      <c r="C282" s="1">
        <v>45667</v>
      </c>
      <c r="D282" s="4">
        <f>IF(OR(Dispute[[#This Row],[Resolution_Date]]="",E282 = 0), "", E282-C282)</f>
        <v>2</v>
      </c>
      <c r="E282" s="1">
        <v>45669</v>
      </c>
      <c r="F282" t="s">
        <v>15</v>
      </c>
      <c r="G282" t="s">
        <v>16</v>
      </c>
      <c r="H282" t="s">
        <v>19</v>
      </c>
      <c r="I282" s="2">
        <v>472.5</v>
      </c>
      <c r="J282" t="s">
        <v>9</v>
      </c>
      <c r="K282" t="str">
        <f>IF(Dispute[[#This Row],[Status]] = "In Progress", IF(Dispute[[#This Row],[Time_Line]]&gt;5, "Overdue", "Within SLA"), "Closed")</f>
        <v>Closed</v>
      </c>
    </row>
    <row r="283" spans="1:11" x14ac:dyDescent="0.25">
      <c r="A283" t="s">
        <v>303</v>
      </c>
      <c r="B283" s="1">
        <v>45669</v>
      </c>
      <c r="C283" s="1">
        <v>45673</v>
      </c>
      <c r="D283" s="4">
        <f>IF(OR(Dispute[[#This Row],[Resolution_Date]]="",E283 = 0), "", E283-C283)</f>
        <v>3</v>
      </c>
      <c r="E283" s="1">
        <v>45676</v>
      </c>
      <c r="F283" t="s">
        <v>10</v>
      </c>
      <c r="G283" t="s">
        <v>18</v>
      </c>
      <c r="H283" t="s">
        <v>30</v>
      </c>
      <c r="I283" s="2">
        <v>351.41000366210938</v>
      </c>
      <c r="J283" t="s">
        <v>9</v>
      </c>
      <c r="K283" t="str">
        <f>IF(Dispute[[#This Row],[Status]] = "In Progress", IF(Dispute[[#This Row],[Time_Line]]&gt;5, "Overdue", "Within SLA"), "Closed")</f>
        <v>Closed</v>
      </c>
    </row>
    <row r="284" spans="1:11" x14ac:dyDescent="0.25">
      <c r="A284" t="s">
        <v>304</v>
      </c>
      <c r="B284" s="1">
        <v>45670</v>
      </c>
      <c r="C284" s="1">
        <v>45677</v>
      </c>
      <c r="D284" s="4">
        <f>IF(OR(Dispute[[#This Row],[Resolution_Date]]="",E284 = 0), "", E284-C284)</f>
        <v>6</v>
      </c>
      <c r="E284" s="1">
        <v>45683</v>
      </c>
      <c r="F284" t="s">
        <v>15</v>
      </c>
      <c r="G284" t="s">
        <v>22</v>
      </c>
      <c r="H284" t="s">
        <v>30</v>
      </c>
      <c r="I284" s="2">
        <v>836.30999755859375</v>
      </c>
      <c r="J284" t="s">
        <v>14</v>
      </c>
      <c r="K284" t="str">
        <f>IF(Dispute[[#This Row],[Status]] = "In Progress", IF(Dispute[[#This Row],[Time_Line]]&gt;5, "Overdue", "Within SLA"), "Closed")</f>
        <v>Closed</v>
      </c>
    </row>
    <row r="285" spans="1:11" x14ac:dyDescent="0.25">
      <c r="A285" t="s">
        <v>305</v>
      </c>
      <c r="B285" s="1">
        <v>45687</v>
      </c>
      <c r="C285" s="1">
        <v>45688</v>
      </c>
      <c r="D285" s="4">
        <f>IF(OR(Dispute[[#This Row],[Resolution_Date]]="",E285 = 0), "", E285-C285)</f>
        <v>6</v>
      </c>
      <c r="E285" s="1">
        <v>45694</v>
      </c>
      <c r="F285" t="s">
        <v>15</v>
      </c>
      <c r="G285" t="s">
        <v>16</v>
      </c>
      <c r="H285" t="s">
        <v>23</v>
      </c>
      <c r="I285" s="2">
        <v>1160.6199951171875</v>
      </c>
      <c r="J285" t="s">
        <v>9</v>
      </c>
      <c r="K285" t="str">
        <f>IF(Dispute[[#This Row],[Status]] = "In Progress", IF(Dispute[[#This Row],[Time_Line]]&gt;5, "Overdue", "Within SLA"), "Closed")</f>
        <v>Closed</v>
      </c>
    </row>
    <row r="286" spans="1:11" x14ac:dyDescent="0.25">
      <c r="A286" t="s">
        <v>306</v>
      </c>
      <c r="B286" s="1">
        <v>45706</v>
      </c>
      <c r="C286" s="1">
        <v>45713</v>
      </c>
      <c r="D286" s="4">
        <f>IF(OR(Dispute[[#This Row],[Resolution_Date]]="",E286 = 0), "", E286-C286)</f>
        <v>3</v>
      </c>
      <c r="E286" s="1">
        <v>45716</v>
      </c>
      <c r="F286" t="s">
        <v>25</v>
      </c>
      <c r="G286" t="s">
        <v>18</v>
      </c>
      <c r="H286" t="s">
        <v>19</v>
      </c>
      <c r="I286" s="2">
        <v>941.66998291015625</v>
      </c>
      <c r="J286" t="s">
        <v>9</v>
      </c>
      <c r="K286" t="str">
        <f>IF(Dispute[[#This Row],[Status]] = "In Progress", IF(Dispute[[#This Row],[Time_Line]]&gt;5, "Overdue", "Within SLA"), "Closed")</f>
        <v>Closed</v>
      </c>
    </row>
    <row r="287" spans="1:11" x14ac:dyDescent="0.25">
      <c r="A287" t="s">
        <v>307</v>
      </c>
      <c r="B287" s="1">
        <v>45714</v>
      </c>
      <c r="C287" s="1">
        <v>45721</v>
      </c>
      <c r="D287" s="4">
        <f>IF(OR(Dispute[[#This Row],[Resolution_Date]]="",E287 = 0), "", E287-C287)</f>
        <v>1</v>
      </c>
      <c r="E287" s="1">
        <v>45722</v>
      </c>
      <c r="F287" t="s">
        <v>10</v>
      </c>
      <c r="G287" t="s">
        <v>11</v>
      </c>
      <c r="H287" t="s">
        <v>30</v>
      </c>
      <c r="I287" s="2">
        <v>420.51998901367188</v>
      </c>
      <c r="J287" t="s">
        <v>14</v>
      </c>
      <c r="K287" t="str">
        <f>IF(Dispute[[#This Row],[Status]] = "In Progress", IF(Dispute[[#This Row],[Time_Line]]&gt;5, "Overdue", "Within SLA"), "Closed")</f>
        <v>Closed</v>
      </c>
    </row>
    <row r="288" spans="1:11" x14ac:dyDescent="0.25">
      <c r="A288" t="s">
        <v>308</v>
      </c>
      <c r="B288" s="1">
        <v>45684</v>
      </c>
      <c r="C288" s="1">
        <v>45694</v>
      </c>
      <c r="D288" s="4">
        <f>IF(OR(Dispute[[#This Row],[Resolution_Date]]="",E288 = 0), "", E288-C288)</f>
        <v>5</v>
      </c>
      <c r="E288" s="1">
        <v>45699</v>
      </c>
      <c r="F288" t="s">
        <v>25</v>
      </c>
      <c r="G288" t="s">
        <v>18</v>
      </c>
      <c r="H288" t="s">
        <v>12</v>
      </c>
      <c r="I288" s="2">
        <v>220.14999389648438</v>
      </c>
      <c r="J288" t="s">
        <v>14</v>
      </c>
      <c r="K288" t="str">
        <f>IF(Dispute[[#This Row],[Status]] = "In Progress", IF(Dispute[[#This Row],[Time_Line]]&gt;5, "Overdue", "Within SLA"), "Closed")</f>
        <v>Closed</v>
      </c>
    </row>
    <row r="289" spans="1:11" x14ac:dyDescent="0.25">
      <c r="A289" t="s">
        <v>309</v>
      </c>
      <c r="B289" s="1">
        <v>45692</v>
      </c>
      <c r="C289" s="1">
        <v>45696</v>
      </c>
      <c r="D289" s="4">
        <f>IF(OR(Dispute[[#This Row],[Resolution_Date]]="",E289 = 0), "", E289-C289)</f>
        <v>5</v>
      </c>
      <c r="E289" s="1">
        <v>45701</v>
      </c>
      <c r="F289" t="s">
        <v>25</v>
      </c>
      <c r="G289" t="s">
        <v>16</v>
      </c>
      <c r="H289" t="s">
        <v>23</v>
      </c>
      <c r="I289" s="2">
        <v>469.48001098632813</v>
      </c>
      <c r="J289" t="s">
        <v>14</v>
      </c>
      <c r="K289" t="str">
        <f>IF(Dispute[[#This Row],[Status]] = "In Progress", IF(Dispute[[#This Row],[Time_Line]]&gt;5, "Overdue", "Within SLA"), "Closed")</f>
        <v>Closed</v>
      </c>
    </row>
    <row r="290" spans="1:11" x14ac:dyDescent="0.25">
      <c r="A290" t="s">
        <v>310</v>
      </c>
      <c r="B290" s="1">
        <v>45708</v>
      </c>
      <c r="C290" s="1">
        <v>45717</v>
      </c>
      <c r="D290" s="4" t="str">
        <f>IF(OR(Dispute[[#This Row],[Resolution_Date]]="",E290 = 0), "", E290-C290)</f>
        <v/>
      </c>
      <c r="F290" t="s">
        <v>10</v>
      </c>
      <c r="G290" t="s">
        <v>16</v>
      </c>
      <c r="H290" t="s">
        <v>30</v>
      </c>
      <c r="I290" s="2">
        <v>154.47999572753906</v>
      </c>
      <c r="J290" t="s">
        <v>46</v>
      </c>
      <c r="K290" t="str">
        <f>IF(Dispute[[#This Row],[Status]] = "In Progress", IF(Dispute[[#This Row],[Time_Line]]&gt;5, "Overdue", "Within SLA"), "Closed")</f>
        <v>Overdue</v>
      </c>
    </row>
    <row r="291" spans="1:11" x14ac:dyDescent="0.25">
      <c r="A291" t="s">
        <v>311</v>
      </c>
      <c r="B291" s="1">
        <v>45663</v>
      </c>
      <c r="C291" s="1">
        <v>45671</v>
      </c>
      <c r="D291" s="4">
        <f>IF(OR(Dispute[[#This Row],[Resolution_Date]]="",E291 = 0), "", E291-C291)</f>
        <v>4</v>
      </c>
      <c r="E291" s="1">
        <v>45675</v>
      </c>
      <c r="F291" t="s">
        <v>25</v>
      </c>
      <c r="G291" t="s">
        <v>22</v>
      </c>
      <c r="H291" t="s">
        <v>19</v>
      </c>
      <c r="I291" s="2">
        <v>37.680000305175781</v>
      </c>
      <c r="J291" t="s">
        <v>9</v>
      </c>
      <c r="K291" t="str">
        <f>IF(Dispute[[#This Row],[Status]] = "In Progress", IF(Dispute[[#This Row],[Time_Line]]&gt;5, "Overdue", "Within SLA"), "Closed")</f>
        <v>Closed</v>
      </c>
    </row>
    <row r="292" spans="1:11" x14ac:dyDescent="0.25">
      <c r="A292" t="s">
        <v>312</v>
      </c>
      <c r="B292" s="1">
        <v>45704</v>
      </c>
      <c r="C292" s="1">
        <v>45709</v>
      </c>
      <c r="D292" s="4" t="str">
        <f>IF(OR(Dispute[[#This Row],[Resolution_Date]]="",E292 = 0), "", E292-C292)</f>
        <v/>
      </c>
      <c r="F292" t="s">
        <v>10</v>
      </c>
      <c r="G292" t="s">
        <v>16</v>
      </c>
      <c r="H292" t="s">
        <v>12</v>
      </c>
      <c r="I292" s="2">
        <v>545.90997314453125</v>
      </c>
      <c r="J292" t="s">
        <v>46</v>
      </c>
      <c r="K292" t="str">
        <f>IF(Dispute[[#This Row],[Status]] = "In Progress", IF(Dispute[[#This Row],[Time_Line]]&gt;5, "Overdue", "Within SLA"), "Closed")</f>
        <v>Overdue</v>
      </c>
    </row>
    <row r="293" spans="1:11" x14ac:dyDescent="0.25">
      <c r="A293" t="s">
        <v>313</v>
      </c>
      <c r="B293" s="1">
        <v>45689</v>
      </c>
      <c r="C293" s="1">
        <v>45692</v>
      </c>
      <c r="D293" s="4">
        <f>IF(OR(Dispute[[#This Row],[Resolution_Date]]="",E293 = 0), "", E293-C293)</f>
        <v>4</v>
      </c>
      <c r="E293" s="1">
        <v>45696</v>
      </c>
      <c r="F293" t="s">
        <v>15</v>
      </c>
      <c r="G293" t="s">
        <v>18</v>
      </c>
      <c r="H293" t="s">
        <v>19</v>
      </c>
      <c r="I293" s="2">
        <v>693.15997314453125</v>
      </c>
      <c r="J293" t="s">
        <v>14</v>
      </c>
      <c r="K293" t="str">
        <f>IF(Dispute[[#This Row],[Status]] = "In Progress", IF(Dispute[[#This Row],[Time_Line]]&gt;5, "Overdue", "Within SLA"), "Closed")</f>
        <v>Closed</v>
      </c>
    </row>
    <row r="294" spans="1:11" x14ac:dyDescent="0.25">
      <c r="A294" t="s">
        <v>314</v>
      </c>
      <c r="B294" s="1">
        <v>45706</v>
      </c>
      <c r="C294" s="1">
        <v>45710</v>
      </c>
      <c r="D294" s="4">
        <f>IF(OR(Dispute[[#This Row],[Resolution_Date]]="",E294 = 0), "", E294-C294)</f>
        <v>4</v>
      </c>
      <c r="E294" s="1">
        <v>45714</v>
      </c>
      <c r="F294" t="s">
        <v>25</v>
      </c>
      <c r="G294" t="s">
        <v>18</v>
      </c>
      <c r="H294" t="s">
        <v>23</v>
      </c>
      <c r="I294" s="2">
        <v>1104.5</v>
      </c>
      <c r="J294" t="s">
        <v>14</v>
      </c>
      <c r="K294" t="str">
        <f>IF(Dispute[[#This Row],[Status]] = "In Progress", IF(Dispute[[#This Row],[Time_Line]]&gt;5, "Overdue", "Within SLA"), "Closed")</f>
        <v>Closed</v>
      </c>
    </row>
    <row r="295" spans="1:11" x14ac:dyDescent="0.25">
      <c r="A295" t="s">
        <v>315</v>
      </c>
      <c r="B295" s="1">
        <v>45711</v>
      </c>
      <c r="C295" s="1">
        <v>45721</v>
      </c>
      <c r="D295" s="4">
        <f>IF(OR(Dispute[[#This Row],[Resolution_Date]]="",E295 = 0), "", E295-C295)</f>
        <v>1</v>
      </c>
      <c r="E295" s="1">
        <v>45722</v>
      </c>
      <c r="F295" t="s">
        <v>15</v>
      </c>
      <c r="G295" t="s">
        <v>16</v>
      </c>
      <c r="H295" t="s">
        <v>23</v>
      </c>
      <c r="I295" s="2">
        <v>864.22998046875</v>
      </c>
      <c r="J295" t="s">
        <v>14</v>
      </c>
      <c r="K295" t="str">
        <f>IF(Dispute[[#This Row],[Status]] = "In Progress", IF(Dispute[[#This Row],[Time_Line]]&gt;5, "Overdue", "Within SLA"), "Closed")</f>
        <v>Closed</v>
      </c>
    </row>
    <row r="296" spans="1:11" x14ac:dyDescent="0.25">
      <c r="A296" t="s">
        <v>316</v>
      </c>
      <c r="B296" s="1">
        <v>45709</v>
      </c>
      <c r="C296" s="1">
        <v>45713</v>
      </c>
      <c r="D296" s="4" t="str">
        <f>IF(OR(Dispute[[#This Row],[Resolution_Date]]="",E296 = 0), "", E296-C296)</f>
        <v/>
      </c>
      <c r="F296" t="s">
        <v>10</v>
      </c>
      <c r="G296" t="s">
        <v>18</v>
      </c>
      <c r="H296" t="s">
        <v>30</v>
      </c>
      <c r="I296" s="2">
        <v>215.41000366210938</v>
      </c>
      <c r="J296" t="s">
        <v>46</v>
      </c>
      <c r="K296" t="str">
        <f>IF(Dispute[[#This Row],[Status]] = "In Progress", IF(Dispute[[#This Row],[Time_Line]]&gt;5, "Overdue", "Within SLA"), "Closed")</f>
        <v>Overdue</v>
      </c>
    </row>
    <row r="297" spans="1:11" x14ac:dyDescent="0.25">
      <c r="A297" t="s">
        <v>317</v>
      </c>
      <c r="B297" s="1">
        <v>45714</v>
      </c>
      <c r="C297" s="1">
        <v>45718</v>
      </c>
      <c r="D297" s="4">
        <f>IF(OR(Dispute[[#This Row],[Resolution_Date]]="",E297 = 0), "", E297-C297)</f>
        <v>7</v>
      </c>
      <c r="E297" s="1">
        <v>45725</v>
      </c>
      <c r="F297" t="s">
        <v>25</v>
      </c>
      <c r="G297" t="s">
        <v>18</v>
      </c>
      <c r="H297" t="s">
        <v>19</v>
      </c>
      <c r="I297" s="2">
        <v>1179.1500244140625</v>
      </c>
      <c r="J297" t="s">
        <v>14</v>
      </c>
      <c r="K297" t="str">
        <f>IF(Dispute[[#This Row],[Status]] = "In Progress", IF(Dispute[[#This Row],[Time_Line]]&gt;5, "Overdue", "Within SLA"), "Closed")</f>
        <v>Closed</v>
      </c>
    </row>
    <row r="298" spans="1:11" x14ac:dyDescent="0.25">
      <c r="A298" t="s">
        <v>318</v>
      </c>
      <c r="B298" s="1">
        <v>45703</v>
      </c>
      <c r="C298" s="1">
        <v>45710</v>
      </c>
      <c r="D298" s="4">
        <f>IF(OR(Dispute[[#This Row],[Resolution_Date]]="",E298 = 0), "", E298-C298)</f>
        <v>3</v>
      </c>
      <c r="E298" s="1">
        <v>45713</v>
      </c>
      <c r="F298" t="s">
        <v>15</v>
      </c>
      <c r="G298" t="s">
        <v>22</v>
      </c>
      <c r="H298" t="s">
        <v>12</v>
      </c>
      <c r="I298" s="2">
        <v>576.1199951171875</v>
      </c>
      <c r="J298" t="s">
        <v>9</v>
      </c>
      <c r="K298" t="str">
        <f>IF(Dispute[[#This Row],[Status]] = "In Progress", IF(Dispute[[#This Row],[Time_Line]]&gt;5, "Overdue", "Within SLA"), "Closed")</f>
        <v>Closed</v>
      </c>
    </row>
    <row r="299" spans="1:11" x14ac:dyDescent="0.25">
      <c r="A299" t="s">
        <v>319</v>
      </c>
      <c r="B299" s="1">
        <v>45659</v>
      </c>
      <c r="C299" s="1">
        <v>45662</v>
      </c>
      <c r="D299" s="4">
        <f>IF(OR(Dispute[[#This Row],[Resolution_Date]]="",E299 = 0), "", E299-C299)</f>
        <v>3</v>
      </c>
      <c r="E299" s="1">
        <v>45665</v>
      </c>
      <c r="F299" t="s">
        <v>15</v>
      </c>
      <c r="G299" t="s">
        <v>16</v>
      </c>
      <c r="H299" t="s">
        <v>23</v>
      </c>
      <c r="I299" s="2">
        <v>601.219970703125</v>
      </c>
      <c r="J299" t="s">
        <v>14</v>
      </c>
      <c r="K299" t="str">
        <f>IF(Dispute[[#This Row],[Status]] = "In Progress", IF(Dispute[[#This Row],[Time_Line]]&gt;5, "Overdue", "Within SLA"), "Closed")</f>
        <v>Closed</v>
      </c>
    </row>
    <row r="300" spans="1:11" x14ac:dyDescent="0.25">
      <c r="A300" t="s">
        <v>320</v>
      </c>
      <c r="B300" s="1">
        <v>45706</v>
      </c>
      <c r="C300" s="1">
        <v>45710</v>
      </c>
      <c r="D300" s="4" t="str">
        <f>IF(OR(Dispute[[#This Row],[Resolution_Date]]="",E300 = 0), "", E300-C300)</f>
        <v/>
      </c>
      <c r="F300" t="s">
        <v>10</v>
      </c>
      <c r="G300" t="s">
        <v>18</v>
      </c>
      <c r="H300" t="s">
        <v>12</v>
      </c>
      <c r="I300" s="2">
        <v>510.3900146484375</v>
      </c>
      <c r="J300" t="s">
        <v>46</v>
      </c>
      <c r="K300" t="str">
        <f>IF(Dispute[[#This Row],[Status]] = "In Progress", IF(Dispute[[#This Row],[Time_Line]]&gt;5, "Overdue", "Within SLA"), "Closed")</f>
        <v>Overdue</v>
      </c>
    </row>
    <row r="301" spans="1:11" x14ac:dyDescent="0.25">
      <c r="A301" t="s">
        <v>321</v>
      </c>
      <c r="B301" s="1">
        <v>45702</v>
      </c>
      <c r="C301" s="1">
        <v>45707</v>
      </c>
      <c r="D301" s="4">
        <f>IF(OR(Dispute[[#This Row],[Resolution_Date]]="",E301 = 0), "", E301-C301)</f>
        <v>3</v>
      </c>
      <c r="E301" s="1">
        <v>45710</v>
      </c>
      <c r="F301" t="s">
        <v>25</v>
      </c>
      <c r="G301" t="s">
        <v>11</v>
      </c>
      <c r="H301" t="s">
        <v>23</v>
      </c>
      <c r="I301" s="2">
        <v>444.3900146484375</v>
      </c>
      <c r="J301" t="s">
        <v>14</v>
      </c>
      <c r="K301" t="str">
        <f>IF(Dispute[[#This Row],[Status]] = "In Progress", IF(Dispute[[#This Row],[Time_Line]]&gt;5, "Overdue", "Within SLA"), "Closed")</f>
        <v>Closed</v>
      </c>
    </row>
    <row r="302" spans="1:11" x14ac:dyDescent="0.25">
      <c r="A302" t="s">
        <v>322</v>
      </c>
      <c r="B302" s="1">
        <v>45715</v>
      </c>
      <c r="C302" s="1">
        <v>45722</v>
      </c>
      <c r="D302" s="4">
        <f>IF(OR(Dispute[[#This Row],[Resolution_Date]]="",E302 = 0), "", E302-C302)</f>
        <v>2</v>
      </c>
      <c r="E302" s="1">
        <v>45724</v>
      </c>
      <c r="F302" t="s">
        <v>10</v>
      </c>
      <c r="G302" t="s">
        <v>18</v>
      </c>
      <c r="H302" t="s">
        <v>23</v>
      </c>
      <c r="I302" s="2">
        <v>290.89999389648438</v>
      </c>
      <c r="J302" t="s">
        <v>9</v>
      </c>
      <c r="K302" t="str">
        <f>IF(Dispute[[#This Row],[Status]] = "In Progress", IF(Dispute[[#This Row],[Time_Line]]&gt;5, "Overdue", "Within SLA"), "Closed")</f>
        <v>Closed</v>
      </c>
    </row>
    <row r="303" spans="1:11" x14ac:dyDescent="0.25">
      <c r="A303" t="s">
        <v>323</v>
      </c>
      <c r="B303" s="1">
        <v>45711</v>
      </c>
      <c r="C303" s="1">
        <v>45715</v>
      </c>
      <c r="D303" s="4">
        <f>IF(OR(Dispute[[#This Row],[Resolution_Date]]="",E303 = 0), "", E303-C303)</f>
        <v>5</v>
      </c>
      <c r="E303" s="1">
        <v>45720</v>
      </c>
      <c r="F303" t="s">
        <v>15</v>
      </c>
      <c r="G303" t="s">
        <v>16</v>
      </c>
      <c r="H303" t="s">
        <v>30</v>
      </c>
      <c r="I303" s="2">
        <v>1059.239990234375</v>
      </c>
      <c r="J303" t="s">
        <v>9</v>
      </c>
      <c r="K303" t="str">
        <f>IF(Dispute[[#This Row],[Status]] = "In Progress", IF(Dispute[[#This Row],[Time_Line]]&gt;5, "Overdue", "Within SLA"), "Closed")</f>
        <v>Closed</v>
      </c>
    </row>
    <row r="304" spans="1:11" x14ac:dyDescent="0.25">
      <c r="A304" t="s">
        <v>324</v>
      </c>
      <c r="B304" s="1">
        <v>45672</v>
      </c>
      <c r="C304" s="1">
        <v>45682</v>
      </c>
      <c r="D304" s="4">
        <f>IF(OR(Dispute[[#This Row],[Resolution_Date]]="",E304 = 0), "", E304-C304)</f>
        <v>1</v>
      </c>
      <c r="E304" s="1">
        <v>45683</v>
      </c>
      <c r="F304" t="s">
        <v>10</v>
      </c>
      <c r="G304" t="s">
        <v>22</v>
      </c>
      <c r="H304" t="s">
        <v>12</v>
      </c>
      <c r="I304" s="2">
        <v>49.209999084472656</v>
      </c>
      <c r="J304" t="s">
        <v>9</v>
      </c>
      <c r="K304" t="str">
        <f>IF(Dispute[[#This Row],[Status]] = "In Progress", IF(Dispute[[#This Row],[Time_Line]]&gt;5, "Overdue", "Within SLA"), "Closed")</f>
        <v>Closed</v>
      </c>
    </row>
    <row r="305" spans="1:11" x14ac:dyDescent="0.25">
      <c r="A305" t="s">
        <v>325</v>
      </c>
      <c r="B305" s="1">
        <v>45678</v>
      </c>
      <c r="C305" s="1">
        <v>45684</v>
      </c>
      <c r="D305" s="4">
        <f>IF(OR(Dispute[[#This Row],[Resolution_Date]]="",E305 = 0), "", E305-C305)</f>
        <v>3</v>
      </c>
      <c r="E305" s="1">
        <v>45687</v>
      </c>
      <c r="F305" t="s">
        <v>10</v>
      </c>
      <c r="G305" t="s">
        <v>16</v>
      </c>
      <c r="H305" t="s">
        <v>12</v>
      </c>
      <c r="I305" s="2">
        <v>926.8599853515625</v>
      </c>
      <c r="J305" t="s">
        <v>9</v>
      </c>
      <c r="K305" t="str">
        <f>IF(Dispute[[#This Row],[Status]] = "In Progress", IF(Dispute[[#This Row],[Time_Line]]&gt;5, "Overdue", "Within SLA"), "Closed")</f>
        <v>Closed</v>
      </c>
    </row>
    <row r="306" spans="1:11" x14ac:dyDescent="0.25">
      <c r="A306" t="s">
        <v>326</v>
      </c>
      <c r="B306" s="1">
        <v>45697</v>
      </c>
      <c r="C306" s="1">
        <v>45698</v>
      </c>
      <c r="D306" s="4">
        <f>IF(OR(Dispute[[#This Row],[Resolution_Date]]="",E306 = 0), "", E306-C306)</f>
        <v>7</v>
      </c>
      <c r="E306" s="1">
        <v>45705</v>
      </c>
      <c r="F306" t="s">
        <v>25</v>
      </c>
      <c r="G306" t="s">
        <v>11</v>
      </c>
      <c r="H306" t="s">
        <v>30</v>
      </c>
      <c r="I306" s="2">
        <v>1013.75</v>
      </c>
      <c r="J306" t="s">
        <v>14</v>
      </c>
      <c r="K306" t="str">
        <f>IF(Dispute[[#This Row],[Status]] = "In Progress", IF(Dispute[[#This Row],[Time_Line]]&gt;5, "Overdue", "Within SLA"), "Closed")</f>
        <v>Closed</v>
      </c>
    </row>
    <row r="307" spans="1:11" x14ac:dyDescent="0.25">
      <c r="A307" t="s">
        <v>327</v>
      </c>
      <c r="B307" s="1">
        <v>45713</v>
      </c>
      <c r="C307" s="1">
        <v>45714</v>
      </c>
      <c r="D307" s="4">
        <f>IF(OR(Dispute[[#This Row],[Resolution_Date]]="",E307 = 0), "", E307-C307)</f>
        <v>2</v>
      </c>
      <c r="E307" s="1">
        <v>45716</v>
      </c>
      <c r="F307" t="s">
        <v>10</v>
      </c>
      <c r="G307" t="s">
        <v>16</v>
      </c>
      <c r="H307" t="s">
        <v>12</v>
      </c>
      <c r="I307" s="2">
        <v>1150.5400390625</v>
      </c>
      <c r="J307" t="s">
        <v>9</v>
      </c>
      <c r="K307" t="str">
        <f>IF(Dispute[[#This Row],[Status]] = "In Progress", IF(Dispute[[#This Row],[Time_Line]]&gt;5, "Overdue", "Within SLA"), "Closed")</f>
        <v>Closed</v>
      </c>
    </row>
    <row r="308" spans="1:11" x14ac:dyDescent="0.25">
      <c r="A308" t="s">
        <v>328</v>
      </c>
      <c r="B308" s="1">
        <v>45660</v>
      </c>
      <c r="C308" s="1">
        <v>45668</v>
      </c>
      <c r="D308" s="4" t="str">
        <f>IF(OR(Dispute[[#This Row],[Resolution_Date]]="",E308 = 0), "", E308-C308)</f>
        <v/>
      </c>
      <c r="F308" t="s">
        <v>15</v>
      </c>
      <c r="G308" t="s">
        <v>16</v>
      </c>
      <c r="H308" t="s">
        <v>19</v>
      </c>
      <c r="I308" s="2">
        <v>403.75</v>
      </c>
      <c r="J308" t="s">
        <v>46</v>
      </c>
      <c r="K308" t="str">
        <f>IF(Dispute[[#This Row],[Status]] = "In Progress", IF(Dispute[[#This Row],[Time_Line]]&gt;5, "Overdue", "Within SLA"), "Closed")</f>
        <v>Overdue</v>
      </c>
    </row>
    <row r="309" spans="1:11" x14ac:dyDescent="0.25">
      <c r="A309" t="s">
        <v>329</v>
      </c>
      <c r="B309" s="1">
        <v>45713</v>
      </c>
      <c r="C309" s="1">
        <v>45719</v>
      </c>
      <c r="D309" s="4">
        <f>IF(OR(Dispute[[#This Row],[Resolution_Date]]="",E309 = 0), "", E309-C309)</f>
        <v>1</v>
      </c>
      <c r="E309" s="1">
        <v>45720</v>
      </c>
      <c r="F309" t="s">
        <v>15</v>
      </c>
      <c r="G309" t="s">
        <v>18</v>
      </c>
      <c r="H309" t="s">
        <v>23</v>
      </c>
      <c r="I309" s="2">
        <v>437.17001342773438</v>
      </c>
      <c r="J309" t="s">
        <v>14</v>
      </c>
      <c r="K309" t="str">
        <f>IF(Dispute[[#This Row],[Status]] = "In Progress", IF(Dispute[[#This Row],[Time_Line]]&gt;5, "Overdue", "Within SLA"), "Closed")</f>
        <v>Closed</v>
      </c>
    </row>
    <row r="310" spans="1:11" x14ac:dyDescent="0.25">
      <c r="A310" t="s">
        <v>330</v>
      </c>
      <c r="B310" s="1">
        <v>45689</v>
      </c>
      <c r="C310" s="1">
        <v>45690</v>
      </c>
      <c r="D310" s="4">
        <f>IF(OR(Dispute[[#This Row],[Resolution_Date]]="",E310 = 0), "", E310-C310)</f>
        <v>3</v>
      </c>
      <c r="E310" s="1">
        <v>45693</v>
      </c>
      <c r="F310" t="s">
        <v>10</v>
      </c>
      <c r="G310" t="s">
        <v>18</v>
      </c>
      <c r="H310" t="s">
        <v>12</v>
      </c>
      <c r="I310" s="2">
        <v>478.75</v>
      </c>
      <c r="J310" t="s">
        <v>14</v>
      </c>
      <c r="K310" t="str">
        <f>IF(Dispute[[#This Row],[Status]] = "In Progress", IF(Dispute[[#This Row],[Time_Line]]&gt;5, "Overdue", "Within SLA"), "Closed")</f>
        <v>Closed</v>
      </c>
    </row>
    <row r="311" spans="1:11" x14ac:dyDescent="0.25">
      <c r="A311" t="s">
        <v>331</v>
      </c>
      <c r="B311" s="1">
        <v>45671</v>
      </c>
      <c r="C311" s="1">
        <v>45674</v>
      </c>
      <c r="D311" s="4">
        <f>IF(OR(Dispute[[#This Row],[Resolution_Date]]="",E311 = 0), "", E311-C311)</f>
        <v>6</v>
      </c>
      <c r="E311" s="1">
        <v>45680</v>
      </c>
      <c r="F311" t="s">
        <v>15</v>
      </c>
      <c r="G311" t="s">
        <v>11</v>
      </c>
      <c r="H311" t="s">
        <v>19</v>
      </c>
      <c r="I311" s="2">
        <v>544.27001953125</v>
      </c>
      <c r="J311" t="s">
        <v>14</v>
      </c>
      <c r="K311" t="str">
        <f>IF(Dispute[[#This Row],[Status]] = "In Progress", IF(Dispute[[#This Row],[Time_Line]]&gt;5, "Overdue", "Within SLA"), "Closed")</f>
        <v>Closed</v>
      </c>
    </row>
    <row r="312" spans="1:11" x14ac:dyDescent="0.25">
      <c r="A312" t="s">
        <v>332</v>
      </c>
      <c r="B312" s="1">
        <v>45686</v>
      </c>
      <c r="C312" s="1">
        <v>45689</v>
      </c>
      <c r="D312" s="4" t="str">
        <f>IF(OR(Dispute[[#This Row],[Resolution_Date]]="",E312 = 0), "", E312-C312)</f>
        <v/>
      </c>
      <c r="F312" t="s">
        <v>10</v>
      </c>
      <c r="G312" t="s">
        <v>18</v>
      </c>
      <c r="H312" t="s">
        <v>19</v>
      </c>
      <c r="I312" s="2">
        <v>267.010009765625</v>
      </c>
      <c r="J312" t="s">
        <v>46</v>
      </c>
      <c r="K312" t="str">
        <f>IF(Dispute[[#This Row],[Status]] = "In Progress", IF(Dispute[[#This Row],[Time_Line]]&gt;5, "Overdue", "Within SLA"), "Closed")</f>
        <v>Overdue</v>
      </c>
    </row>
    <row r="313" spans="1:11" x14ac:dyDescent="0.25">
      <c r="A313" t="s">
        <v>333</v>
      </c>
      <c r="B313" s="1">
        <v>45670</v>
      </c>
      <c r="C313" s="1">
        <v>45680</v>
      </c>
      <c r="D313" s="4">
        <f>IF(OR(Dispute[[#This Row],[Resolution_Date]]="",E313 = 0), "", E313-C313)</f>
        <v>1</v>
      </c>
      <c r="E313" s="1">
        <v>45681</v>
      </c>
      <c r="F313" t="s">
        <v>25</v>
      </c>
      <c r="G313" t="s">
        <v>11</v>
      </c>
      <c r="H313" t="s">
        <v>19</v>
      </c>
      <c r="I313" s="2">
        <v>456.32000732421875</v>
      </c>
      <c r="J313" t="s">
        <v>9</v>
      </c>
      <c r="K313" t="str">
        <f>IF(Dispute[[#This Row],[Status]] = "In Progress", IF(Dispute[[#This Row],[Time_Line]]&gt;5, "Overdue", "Within SLA"), "Closed")</f>
        <v>Closed</v>
      </c>
    </row>
    <row r="314" spans="1:11" x14ac:dyDescent="0.25">
      <c r="A314" t="s">
        <v>334</v>
      </c>
      <c r="B314" s="1">
        <v>45701</v>
      </c>
      <c r="C314" s="1">
        <v>45705</v>
      </c>
      <c r="D314" s="4" t="str">
        <f>IF(OR(Dispute[[#This Row],[Resolution_Date]]="",E314 = 0), "", E314-C314)</f>
        <v/>
      </c>
      <c r="F314" t="s">
        <v>15</v>
      </c>
      <c r="G314" t="s">
        <v>11</v>
      </c>
      <c r="H314" t="s">
        <v>12</v>
      </c>
      <c r="I314" s="2">
        <v>1144.02001953125</v>
      </c>
      <c r="J314" t="s">
        <v>46</v>
      </c>
      <c r="K314" t="str">
        <f>IF(Dispute[[#This Row],[Status]] = "In Progress", IF(Dispute[[#This Row],[Time_Line]]&gt;5, "Overdue", "Within SLA"), "Closed")</f>
        <v>Overdue</v>
      </c>
    </row>
    <row r="315" spans="1:11" x14ac:dyDescent="0.25">
      <c r="A315" t="s">
        <v>335</v>
      </c>
      <c r="B315" s="1">
        <v>45690</v>
      </c>
      <c r="C315" s="1">
        <v>45695</v>
      </c>
      <c r="D315" s="4">
        <f>IF(OR(Dispute[[#This Row],[Resolution_Date]]="",E315 = 0), "", E315-C315)</f>
        <v>1</v>
      </c>
      <c r="E315" s="1">
        <v>45696</v>
      </c>
      <c r="F315" t="s">
        <v>10</v>
      </c>
      <c r="G315" t="s">
        <v>16</v>
      </c>
      <c r="H315" t="s">
        <v>30</v>
      </c>
      <c r="I315" s="2">
        <v>873.22998046875</v>
      </c>
      <c r="J315" t="s">
        <v>14</v>
      </c>
      <c r="K315" t="str">
        <f>IF(Dispute[[#This Row],[Status]] = "In Progress", IF(Dispute[[#This Row],[Time_Line]]&gt;5, "Overdue", "Within SLA"), "Closed")</f>
        <v>Closed</v>
      </c>
    </row>
    <row r="316" spans="1:11" x14ac:dyDescent="0.25">
      <c r="A316" t="s">
        <v>336</v>
      </c>
      <c r="B316" s="1">
        <v>45690</v>
      </c>
      <c r="C316" s="1">
        <v>45695</v>
      </c>
      <c r="D316" s="4">
        <f>IF(OR(Dispute[[#This Row],[Resolution_Date]]="",E316 = 0), "", E316-C316)</f>
        <v>3</v>
      </c>
      <c r="E316" s="1">
        <v>45698</v>
      </c>
      <c r="F316" t="s">
        <v>15</v>
      </c>
      <c r="G316" t="s">
        <v>16</v>
      </c>
      <c r="H316" t="s">
        <v>30</v>
      </c>
      <c r="I316" s="2">
        <v>290.33999633789063</v>
      </c>
      <c r="J316" t="s">
        <v>14</v>
      </c>
      <c r="K316" t="str">
        <f>IF(Dispute[[#This Row],[Status]] = "In Progress", IF(Dispute[[#This Row],[Time_Line]]&gt;5, "Overdue", "Within SLA"), "Closed")</f>
        <v>Closed</v>
      </c>
    </row>
    <row r="317" spans="1:11" x14ac:dyDescent="0.25">
      <c r="A317" t="s">
        <v>337</v>
      </c>
      <c r="B317" s="1">
        <v>45659</v>
      </c>
      <c r="C317" s="1">
        <v>45660</v>
      </c>
      <c r="D317" s="4">
        <f>IF(OR(Dispute[[#This Row],[Resolution_Date]]="",E317 = 0), "", E317-C317)</f>
        <v>2</v>
      </c>
      <c r="E317" s="1">
        <v>45662</v>
      </c>
      <c r="F317" t="s">
        <v>15</v>
      </c>
      <c r="G317" t="s">
        <v>22</v>
      </c>
      <c r="H317" t="s">
        <v>30</v>
      </c>
      <c r="I317" s="2">
        <v>333.67001342773438</v>
      </c>
      <c r="J317" t="s">
        <v>9</v>
      </c>
      <c r="K317" t="str">
        <f>IF(Dispute[[#This Row],[Status]] = "In Progress", IF(Dispute[[#This Row],[Time_Line]]&gt;5, "Overdue", "Within SLA"), "Closed")</f>
        <v>Closed</v>
      </c>
    </row>
    <row r="318" spans="1:11" x14ac:dyDescent="0.25">
      <c r="A318" t="s">
        <v>338</v>
      </c>
      <c r="B318" s="1">
        <v>45706</v>
      </c>
      <c r="C318" s="1">
        <v>45711</v>
      </c>
      <c r="D318" s="4">
        <f>IF(OR(Dispute[[#This Row],[Resolution_Date]]="",E318 = 0), "", E318-C318)</f>
        <v>4</v>
      </c>
      <c r="E318" s="1">
        <v>45715</v>
      </c>
      <c r="F318" t="s">
        <v>15</v>
      </c>
      <c r="G318" t="s">
        <v>18</v>
      </c>
      <c r="H318" t="s">
        <v>30</v>
      </c>
      <c r="I318" s="2">
        <v>546.9000244140625</v>
      </c>
      <c r="J318" t="s">
        <v>9</v>
      </c>
      <c r="K318" t="str">
        <f>IF(Dispute[[#This Row],[Status]] = "In Progress", IF(Dispute[[#This Row],[Time_Line]]&gt;5, "Overdue", "Within SLA"), "Closed")</f>
        <v>Closed</v>
      </c>
    </row>
    <row r="319" spans="1:11" x14ac:dyDescent="0.25">
      <c r="A319" t="s">
        <v>339</v>
      </c>
      <c r="B319" s="1">
        <v>45708</v>
      </c>
      <c r="C319" s="1">
        <v>45712</v>
      </c>
      <c r="D319" s="4">
        <f>IF(OR(Dispute[[#This Row],[Resolution_Date]]="",E319 = 0), "", E319-C319)</f>
        <v>2</v>
      </c>
      <c r="E319" s="1">
        <v>45714</v>
      </c>
      <c r="F319" t="s">
        <v>10</v>
      </c>
      <c r="G319" t="s">
        <v>11</v>
      </c>
      <c r="H319" t="s">
        <v>30</v>
      </c>
      <c r="I319" s="2">
        <v>59.340000152587891</v>
      </c>
      <c r="J319" t="s">
        <v>9</v>
      </c>
      <c r="K319" t="str">
        <f>IF(Dispute[[#This Row],[Status]] = "In Progress", IF(Dispute[[#This Row],[Time_Line]]&gt;5, "Overdue", "Within SLA"), "Closed")</f>
        <v>Closed</v>
      </c>
    </row>
    <row r="320" spans="1:11" x14ac:dyDescent="0.25">
      <c r="A320" t="s">
        <v>340</v>
      </c>
      <c r="B320" s="1">
        <v>45665</v>
      </c>
      <c r="C320" s="1">
        <v>45668</v>
      </c>
      <c r="D320" s="4">
        <f>IF(OR(Dispute[[#This Row],[Resolution_Date]]="",E320 = 0), "", E320-C320)</f>
        <v>4</v>
      </c>
      <c r="E320" s="1">
        <v>45672</v>
      </c>
      <c r="F320" t="s">
        <v>25</v>
      </c>
      <c r="G320" t="s">
        <v>11</v>
      </c>
      <c r="H320" t="s">
        <v>19</v>
      </c>
      <c r="I320" s="2">
        <v>1155.5</v>
      </c>
      <c r="J320" t="s">
        <v>14</v>
      </c>
      <c r="K320" t="str">
        <f>IF(Dispute[[#This Row],[Status]] = "In Progress", IF(Dispute[[#This Row],[Time_Line]]&gt;5, "Overdue", "Within SLA"), "Closed")</f>
        <v>Closed</v>
      </c>
    </row>
    <row r="321" spans="1:11" x14ac:dyDescent="0.25">
      <c r="A321" t="s">
        <v>341</v>
      </c>
      <c r="B321" s="1">
        <v>45688</v>
      </c>
      <c r="C321" s="1">
        <v>45697</v>
      </c>
      <c r="D321" s="4">
        <f>IF(OR(Dispute[[#This Row],[Resolution_Date]]="",E321 = 0), "", E321-C321)</f>
        <v>4</v>
      </c>
      <c r="E321" s="1">
        <v>45701</v>
      </c>
      <c r="F321" t="s">
        <v>25</v>
      </c>
      <c r="G321" t="s">
        <v>18</v>
      </c>
      <c r="H321" t="s">
        <v>12</v>
      </c>
      <c r="I321" s="2">
        <v>316.52999877929688</v>
      </c>
      <c r="J321" t="s">
        <v>9</v>
      </c>
      <c r="K321" t="str">
        <f>IF(Dispute[[#This Row],[Status]] = "In Progress", IF(Dispute[[#This Row],[Time_Line]]&gt;5, "Overdue", "Within SLA"), "Closed")</f>
        <v>Closed</v>
      </c>
    </row>
    <row r="322" spans="1:11" x14ac:dyDescent="0.25">
      <c r="A322" t="s">
        <v>342</v>
      </c>
      <c r="B322" s="1">
        <v>45670</v>
      </c>
      <c r="C322" s="1">
        <v>45675</v>
      </c>
      <c r="D322" s="4">
        <f>IF(OR(Dispute[[#This Row],[Resolution_Date]]="",E322 = 0), "", E322-C322)</f>
        <v>2</v>
      </c>
      <c r="E322" s="1">
        <v>45677</v>
      </c>
      <c r="F322" t="s">
        <v>25</v>
      </c>
      <c r="G322" t="s">
        <v>16</v>
      </c>
      <c r="H322" t="s">
        <v>19</v>
      </c>
      <c r="I322" s="2">
        <v>601.57000732421875</v>
      </c>
      <c r="J322" t="s">
        <v>14</v>
      </c>
      <c r="K322" t="str">
        <f>IF(Dispute[[#This Row],[Status]] = "In Progress", IF(Dispute[[#This Row],[Time_Line]]&gt;5, "Overdue", "Within SLA"), "Closed")</f>
        <v>Closed</v>
      </c>
    </row>
    <row r="323" spans="1:11" x14ac:dyDescent="0.25">
      <c r="A323" t="s">
        <v>343</v>
      </c>
      <c r="B323" s="1">
        <v>45658</v>
      </c>
      <c r="C323" s="1">
        <v>45660</v>
      </c>
      <c r="D323" s="4" t="str">
        <f>IF(OR(Dispute[[#This Row],[Resolution_Date]]="",E323 = 0), "", E323-C323)</f>
        <v/>
      </c>
      <c r="F323" t="s">
        <v>10</v>
      </c>
      <c r="G323" t="s">
        <v>11</v>
      </c>
      <c r="H323" t="s">
        <v>23</v>
      </c>
      <c r="I323" s="2">
        <v>777.19000244140625</v>
      </c>
      <c r="J323" t="s">
        <v>46</v>
      </c>
      <c r="K323" t="str">
        <f>IF(Dispute[[#This Row],[Status]] = "In Progress", IF(Dispute[[#This Row],[Time_Line]]&gt;5, "Overdue", "Within SLA"), "Closed")</f>
        <v>Overdue</v>
      </c>
    </row>
    <row r="324" spans="1:11" x14ac:dyDescent="0.25">
      <c r="A324" t="s">
        <v>344</v>
      </c>
      <c r="B324" s="1">
        <v>45664</v>
      </c>
      <c r="C324" s="1">
        <v>45670</v>
      </c>
      <c r="D324" s="4">
        <f>IF(OR(Dispute[[#This Row],[Resolution_Date]]="",E324 = 0), "", E324-C324)</f>
        <v>3</v>
      </c>
      <c r="E324" s="1">
        <v>45673</v>
      </c>
      <c r="F324" t="s">
        <v>10</v>
      </c>
      <c r="G324" t="s">
        <v>18</v>
      </c>
      <c r="H324" t="s">
        <v>23</v>
      </c>
      <c r="I324" s="2">
        <v>380.92999267578125</v>
      </c>
      <c r="J324" t="s">
        <v>9</v>
      </c>
      <c r="K324" t="str">
        <f>IF(Dispute[[#This Row],[Status]] = "In Progress", IF(Dispute[[#This Row],[Time_Line]]&gt;5, "Overdue", "Within SLA"), "Closed")</f>
        <v>Closed</v>
      </c>
    </row>
    <row r="325" spans="1:11" x14ac:dyDescent="0.25">
      <c r="A325" t="s">
        <v>345</v>
      </c>
      <c r="B325" s="1">
        <v>45713</v>
      </c>
      <c r="C325" s="1">
        <v>45716</v>
      </c>
      <c r="D325" s="4">
        <f>IF(OR(Dispute[[#This Row],[Resolution_Date]]="",E325 = 0), "", E325-C325)</f>
        <v>5</v>
      </c>
      <c r="E325" s="1">
        <v>45721</v>
      </c>
      <c r="F325" t="s">
        <v>10</v>
      </c>
      <c r="G325" t="s">
        <v>22</v>
      </c>
      <c r="H325" t="s">
        <v>30</v>
      </c>
      <c r="I325" s="2">
        <v>775.08001708984375</v>
      </c>
      <c r="J325" t="s">
        <v>9</v>
      </c>
      <c r="K325" t="str">
        <f>IF(Dispute[[#This Row],[Status]] = "In Progress", IF(Dispute[[#This Row],[Time_Line]]&gt;5, "Overdue", "Within SLA"), "Closed")</f>
        <v>Closed</v>
      </c>
    </row>
    <row r="326" spans="1:11" x14ac:dyDescent="0.25">
      <c r="A326" t="s">
        <v>346</v>
      </c>
      <c r="B326" s="1">
        <v>45707</v>
      </c>
      <c r="C326" s="1">
        <v>45717</v>
      </c>
      <c r="D326" s="4">
        <f>IF(OR(Dispute[[#This Row],[Resolution_Date]]="",E326 = 0), "", E326-C326)</f>
        <v>7</v>
      </c>
      <c r="E326" s="1">
        <v>45724</v>
      </c>
      <c r="F326" t="s">
        <v>10</v>
      </c>
      <c r="G326" t="s">
        <v>16</v>
      </c>
      <c r="H326" t="s">
        <v>30</v>
      </c>
      <c r="I326" s="2">
        <v>16.799999237060547</v>
      </c>
      <c r="J326" t="s">
        <v>14</v>
      </c>
      <c r="K326" t="str">
        <f>IF(Dispute[[#This Row],[Status]] = "In Progress", IF(Dispute[[#This Row],[Time_Line]]&gt;5, "Overdue", "Within SLA"), "Closed")</f>
        <v>Closed</v>
      </c>
    </row>
    <row r="327" spans="1:11" x14ac:dyDescent="0.25">
      <c r="A327" t="s">
        <v>347</v>
      </c>
      <c r="B327" s="1">
        <v>45695</v>
      </c>
      <c r="C327" s="1">
        <v>45705</v>
      </c>
      <c r="D327" s="4" t="str">
        <f>IF(OR(Dispute[[#This Row],[Resolution_Date]]="",E327 = 0), "", E327-C327)</f>
        <v/>
      </c>
      <c r="F327" t="s">
        <v>25</v>
      </c>
      <c r="G327" t="s">
        <v>18</v>
      </c>
      <c r="H327" t="s">
        <v>30</v>
      </c>
      <c r="I327" s="2">
        <v>711.27001953125</v>
      </c>
      <c r="J327" t="s">
        <v>46</v>
      </c>
      <c r="K327" t="str">
        <f>IF(Dispute[[#This Row],[Status]] = "In Progress", IF(Dispute[[#This Row],[Time_Line]]&gt;5, "Overdue", "Within SLA"), "Closed")</f>
        <v>Overdue</v>
      </c>
    </row>
    <row r="328" spans="1:11" x14ac:dyDescent="0.25">
      <c r="A328" t="s">
        <v>348</v>
      </c>
      <c r="B328" s="1">
        <v>45664</v>
      </c>
      <c r="C328" s="1">
        <v>45671</v>
      </c>
      <c r="D328" s="4" t="str">
        <f>IF(OR(Dispute[[#This Row],[Resolution_Date]]="",E328 = 0), "", E328-C328)</f>
        <v/>
      </c>
      <c r="F328" t="s">
        <v>25</v>
      </c>
      <c r="G328" t="s">
        <v>16</v>
      </c>
      <c r="H328" t="s">
        <v>19</v>
      </c>
      <c r="I328" s="2">
        <v>67.610000610351563</v>
      </c>
      <c r="J328" t="s">
        <v>46</v>
      </c>
      <c r="K328" t="str">
        <f>IF(Dispute[[#This Row],[Status]] = "In Progress", IF(Dispute[[#This Row],[Time_Line]]&gt;5, "Overdue", "Within SLA"), "Closed")</f>
        <v>Overdue</v>
      </c>
    </row>
    <row r="329" spans="1:11" x14ac:dyDescent="0.25">
      <c r="A329" t="s">
        <v>349</v>
      </c>
      <c r="B329" s="1">
        <v>45695</v>
      </c>
      <c r="C329" s="1">
        <v>45700</v>
      </c>
      <c r="D329" s="4">
        <f>IF(OR(Dispute[[#This Row],[Resolution_Date]]="",E329 = 0), "", E329-C329)</f>
        <v>5</v>
      </c>
      <c r="E329" s="1">
        <v>45705</v>
      </c>
      <c r="F329" t="s">
        <v>25</v>
      </c>
      <c r="G329" t="s">
        <v>11</v>
      </c>
      <c r="H329" t="s">
        <v>23</v>
      </c>
      <c r="I329" s="2">
        <v>793.719970703125</v>
      </c>
      <c r="J329" t="s">
        <v>14</v>
      </c>
      <c r="K329" t="str">
        <f>IF(Dispute[[#This Row],[Status]] = "In Progress", IF(Dispute[[#This Row],[Time_Line]]&gt;5, "Overdue", "Within SLA"), "Closed")</f>
        <v>Closed</v>
      </c>
    </row>
    <row r="330" spans="1:11" x14ac:dyDescent="0.25">
      <c r="A330" t="s">
        <v>350</v>
      </c>
      <c r="B330" s="1">
        <v>45708</v>
      </c>
      <c r="C330" s="1">
        <v>45715</v>
      </c>
      <c r="D330" s="4">
        <f>IF(OR(Dispute[[#This Row],[Resolution_Date]]="",E330 = 0), "", E330-C330)</f>
        <v>2</v>
      </c>
      <c r="E330" s="1">
        <v>45717</v>
      </c>
      <c r="F330" t="s">
        <v>25</v>
      </c>
      <c r="G330" t="s">
        <v>16</v>
      </c>
      <c r="H330" t="s">
        <v>12</v>
      </c>
      <c r="I330" s="2">
        <v>149.02999877929688</v>
      </c>
      <c r="J330" t="s">
        <v>9</v>
      </c>
      <c r="K330" t="str">
        <f>IF(Dispute[[#This Row],[Status]] = "In Progress", IF(Dispute[[#This Row],[Time_Line]]&gt;5, "Overdue", "Within SLA"), "Closed")</f>
        <v>Closed</v>
      </c>
    </row>
    <row r="331" spans="1:11" x14ac:dyDescent="0.25">
      <c r="A331" t="s">
        <v>351</v>
      </c>
      <c r="B331" s="1">
        <v>45697</v>
      </c>
      <c r="C331" s="1">
        <v>45705</v>
      </c>
      <c r="D331" s="4" t="str">
        <f>IF(OR(Dispute[[#This Row],[Resolution_Date]]="",E331 = 0), "", E331-C331)</f>
        <v/>
      </c>
      <c r="F331" t="s">
        <v>25</v>
      </c>
      <c r="G331" t="s">
        <v>11</v>
      </c>
      <c r="H331" t="s">
        <v>12</v>
      </c>
      <c r="I331" s="2">
        <v>389.6300048828125</v>
      </c>
      <c r="J331" t="s">
        <v>46</v>
      </c>
      <c r="K331" t="str">
        <f>IF(Dispute[[#This Row],[Status]] = "In Progress", IF(Dispute[[#This Row],[Time_Line]]&gt;5, "Overdue", "Within SLA"), "Closed")</f>
        <v>Overdue</v>
      </c>
    </row>
    <row r="332" spans="1:11" x14ac:dyDescent="0.25">
      <c r="A332" t="s">
        <v>352</v>
      </c>
      <c r="B332" s="1">
        <v>45694</v>
      </c>
      <c r="C332" s="1">
        <v>45696</v>
      </c>
      <c r="D332" s="4" t="str">
        <f>IF(OR(Dispute[[#This Row],[Resolution_Date]]="",E332 = 0), "", E332-C332)</f>
        <v/>
      </c>
      <c r="F332" t="s">
        <v>10</v>
      </c>
      <c r="G332" t="s">
        <v>11</v>
      </c>
      <c r="H332" t="s">
        <v>30</v>
      </c>
      <c r="I332" s="2">
        <v>631.1500244140625</v>
      </c>
      <c r="J332" t="s">
        <v>46</v>
      </c>
      <c r="K332" t="str">
        <f>IF(Dispute[[#This Row],[Status]] = "In Progress", IF(Dispute[[#This Row],[Time_Line]]&gt;5, "Overdue", "Within SLA"), "Closed")</f>
        <v>Overdue</v>
      </c>
    </row>
    <row r="333" spans="1:11" x14ac:dyDescent="0.25">
      <c r="A333" t="s">
        <v>353</v>
      </c>
      <c r="B333" s="1">
        <v>45681</v>
      </c>
      <c r="C333" s="1">
        <v>45688</v>
      </c>
      <c r="D333" s="4">
        <f>IF(OR(Dispute[[#This Row],[Resolution_Date]]="",E333 = 0), "", E333-C333)</f>
        <v>6</v>
      </c>
      <c r="E333" s="1">
        <v>45694</v>
      </c>
      <c r="F333" t="s">
        <v>15</v>
      </c>
      <c r="G333" t="s">
        <v>11</v>
      </c>
      <c r="H333" t="s">
        <v>30</v>
      </c>
      <c r="I333" s="2">
        <v>366.17001342773438</v>
      </c>
      <c r="J333" t="s">
        <v>14</v>
      </c>
      <c r="K333" t="str">
        <f>IF(Dispute[[#This Row],[Status]] = "In Progress", IF(Dispute[[#This Row],[Time_Line]]&gt;5, "Overdue", "Within SLA"), "Closed")</f>
        <v>Closed</v>
      </c>
    </row>
    <row r="334" spans="1:11" x14ac:dyDescent="0.25">
      <c r="A334" t="s">
        <v>354</v>
      </c>
      <c r="B334" s="1">
        <v>45671</v>
      </c>
      <c r="C334" s="1">
        <v>45677</v>
      </c>
      <c r="D334" s="4">
        <f>IF(OR(Dispute[[#This Row],[Resolution_Date]]="",E334 = 0), "", E334-C334)</f>
        <v>3</v>
      </c>
      <c r="E334" s="1">
        <v>45680</v>
      </c>
      <c r="F334" t="s">
        <v>10</v>
      </c>
      <c r="G334" t="s">
        <v>22</v>
      </c>
      <c r="H334" t="s">
        <v>30</v>
      </c>
      <c r="I334" s="2">
        <v>166.72000122070313</v>
      </c>
      <c r="J334" t="s">
        <v>9</v>
      </c>
      <c r="K334" t="str">
        <f>IF(Dispute[[#This Row],[Status]] = "In Progress", IF(Dispute[[#This Row],[Time_Line]]&gt;5, "Overdue", "Within SLA"), "Closed")</f>
        <v>Closed</v>
      </c>
    </row>
    <row r="335" spans="1:11" x14ac:dyDescent="0.25">
      <c r="A335" t="s">
        <v>355</v>
      </c>
      <c r="B335" s="1">
        <v>45672</v>
      </c>
      <c r="C335" s="1">
        <v>45674</v>
      </c>
      <c r="D335" s="4">
        <f>IF(OR(Dispute[[#This Row],[Resolution_Date]]="",E335 = 0), "", E335-C335)</f>
        <v>4</v>
      </c>
      <c r="E335" s="1">
        <v>45678</v>
      </c>
      <c r="F335" t="s">
        <v>10</v>
      </c>
      <c r="G335" t="s">
        <v>22</v>
      </c>
      <c r="H335" t="s">
        <v>12</v>
      </c>
      <c r="I335" s="2">
        <v>915.77001953125</v>
      </c>
      <c r="J335" t="s">
        <v>9</v>
      </c>
      <c r="K335" t="str">
        <f>IF(Dispute[[#This Row],[Status]] = "In Progress", IF(Dispute[[#This Row],[Time_Line]]&gt;5, "Overdue", "Within SLA"), "Closed")</f>
        <v>Closed</v>
      </c>
    </row>
    <row r="336" spans="1:11" x14ac:dyDescent="0.25">
      <c r="A336" t="s">
        <v>356</v>
      </c>
      <c r="B336" s="1">
        <v>45695</v>
      </c>
      <c r="C336" s="1">
        <v>45702</v>
      </c>
      <c r="D336" s="4">
        <f>IF(OR(Dispute[[#This Row],[Resolution_Date]]="",E336 = 0), "", E336-C336)</f>
        <v>6</v>
      </c>
      <c r="E336" s="1">
        <v>45708</v>
      </c>
      <c r="F336" t="s">
        <v>10</v>
      </c>
      <c r="G336" t="s">
        <v>22</v>
      </c>
      <c r="H336" t="s">
        <v>19</v>
      </c>
      <c r="I336" s="2">
        <v>1142.949951171875</v>
      </c>
      <c r="J336" t="s">
        <v>9</v>
      </c>
      <c r="K336" t="str">
        <f>IF(Dispute[[#This Row],[Status]] = "In Progress", IF(Dispute[[#This Row],[Time_Line]]&gt;5, "Overdue", "Within SLA"), "Closed")</f>
        <v>Closed</v>
      </c>
    </row>
    <row r="337" spans="1:11" x14ac:dyDescent="0.25">
      <c r="A337" t="s">
        <v>357</v>
      </c>
      <c r="B337" s="1">
        <v>45661</v>
      </c>
      <c r="C337" s="1">
        <v>45662</v>
      </c>
      <c r="D337" s="4">
        <f>IF(OR(Dispute[[#This Row],[Resolution_Date]]="",E337 = 0), "", E337-C337)</f>
        <v>5</v>
      </c>
      <c r="E337" s="1">
        <v>45667</v>
      </c>
      <c r="F337" t="s">
        <v>15</v>
      </c>
      <c r="G337" t="s">
        <v>22</v>
      </c>
      <c r="H337" t="s">
        <v>30</v>
      </c>
      <c r="I337" s="2">
        <v>897.510009765625</v>
      </c>
      <c r="J337" t="s">
        <v>9</v>
      </c>
      <c r="K337" t="str">
        <f>IF(Dispute[[#This Row],[Status]] = "In Progress", IF(Dispute[[#This Row],[Time_Line]]&gt;5, "Overdue", "Within SLA"), "Closed")</f>
        <v>Closed</v>
      </c>
    </row>
    <row r="338" spans="1:11" x14ac:dyDescent="0.25">
      <c r="A338" t="s">
        <v>358</v>
      </c>
      <c r="B338" s="1">
        <v>45703</v>
      </c>
      <c r="C338" s="1">
        <v>45710</v>
      </c>
      <c r="D338" s="4">
        <f>IF(OR(Dispute[[#This Row],[Resolution_Date]]="",E338 = 0), "", E338-C338)</f>
        <v>4</v>
      </c>
      <c r="E338" s="1">
        <v>45714</v>
      </c>
      <c r="F338" t="s">
        <v>15</v>
      </c>
      <c r="G338" t="s">
        <v>11</v>
      </c>
      <c r="H338" t="s">
        <v>19</v>
      </c>
      <c r="I338" s="2">
        <v>258.3900146484375</v>
      </c>
      <c r="J338" t="s">
        <v>14</v>
      </c>
      <c r="K338" t="str">
        <f>IF(Dispute[[#This Row],[Status]] = "In Progress", IF(Dispute[[#This Row],[Time_Line]]&gt;5, "Overdue", "Within SLA"), "Closed")</f>
        <v>Closed</v>
      </c>
    </row>
    <row r="339" spans="1:11" x14ac:dyDescent="0.25">
      <c r="A339" t="s">
        <v>359</v>
      </c>
      <c r="B339" s="1">
        <v>45687</v>
      </c>
      <c r="C339" s="1">
        <v>45690</v>
      </c>
      <c r="D339" s="4" t="str">
        <f>IF(OR(Dispute[[#This Row],[Resolution_Date]]="",E339 = 0), "", E339-C339)</f>
        <v/>
      </c>
      <c r="F339" t="s">
        <v>25</v>
      </c>
      <c r="G339" t="s">
        <v>22</v>
      </c>
      <c r="H339" t="s">
        <v>12</v>
      </c>
      <c r="I339" s="2">
        <v>1019.6799926757813</v>
      </c>
      <c r="J339" t="s">
        <v>46</v>
      </c>
      <c r="K339" t="str">
        <f>IF(Dispute[[#This Row],[Status]] = "In Progress", IF(Dispute[[#This Row],[Time_Line]]&gt;5, "Overdue", "Within SLA"), "Closed")</f>
        <v>Overdue</v>
      </c>
    </row>
    <row r="340" spans="1:11" x14ac:dyDescent="0.25">
      <c r="A340" t="s">
        <v>360</v>
      </c>
      <c r="B340" s="1">
        <v>45690</v>
      </c>
      <c r="C340" s="1">
        <v>45691</v>
      </c>
      <c r="D340" s="4">
        <f>IF(OR(Dispute[[#This Row],[Resolution_Date]]="",E340 = 0), "", E340-C340)</f>
        <v>2</v>
      </c>
      <c r="E340" s="1">
        <v>45693</v>
      </c>
      <c r="F340" t="s">
        <v>25</v>
      </c>
      <c r="G340" t="s">
        <v>11</v>
      </c>
      <c r="H340" t="s">
        <v>19</v>
      </c>
      <c r="I340" s="2">
        <v>245.52999877929688</v>
      </c>
      <c r="J340" t="s">
        <v>14</v>
      </c>
      <c r="K340" t="str">
        <f>IF(Dispute[[#This Row],[Status]] = "In Progress", IF(Dispute[[#This Row],[Time_Line]]&gt;5, "Overdue", "Within SLA"), "Closed")</f>
        <v>Closed</v>
      </c>
    </row>
    <row r="341" spans="1:11" x14ac:dyDescent="0.25">
      <c r="A341" t="s">
        <v>361</v>
      </c>
      <c r="B341" s="1">
        <v>45692</v>
      </c>
      <c r="C341" s="1">
        <v>45701</v>
      </c>
      <c r="D341" s="4">
        <f>IF(OR(Dispute[[#This Row],[Resolution_Date]]="",E341 = 0), "", E341-C341)</f>
        <v>6</v>
      </c>
      <c r="E341" s="1">
        <v>45707</v>
      </c>
      <c r="F341" t="s">
        <v>10</v>
      </c>
      <c r="G341" t="s">
        <v>22</v>
      </c>
      <c r="H341" t="s">
        <v>19</v>
      </c>
      <c r="I341" s="2">
        <v>1083.1199951171875</v>
      </c>
      <c r="J341" t="s">
        <v>14</v>
      </c>
      <c r="K341" t="str">
        <f>IF(Dispute[[#This Row],[Status]] = "In Progress", IF(Dispute[[#This Row],[Time_Line]]&gt;5, "Overdue", "Within SLA"), "Closed")</f>
        <v>Closed</v>
      </c>
    </row>
    <row r="342" spans="1:11" x14ac:dyDescent="0.25">
      <c r="A342" t="s">
        <v>362</v>
      </c>
      <c r="B342" s="1">
        <v>45707</v>
      </c>
      <c r="C342" s="1">
        <v>45712</v>
      </c>
      <c r="D342" s="4">
        <f>IF(OR(Dispute[[#This Row],[Resolution_Date]]="",E342 = 0), "", E342-C342)</f>
        <v>1</v>
      </c>
      <c r="E342" s="1">
        <v>45713</v>
      </c>
      <c r="F342" t="s">
        <v>25</v>
      </c>
      <c r="G342" t="s">
        <v>22</v>
      </c>
      <c r="H342" t="s">
        <v>23</v>
      </c>
      <c r="I342" s="2">
        <v>386.04998779296875</v>
      </c>
      <c r="J342" t="s">
        <v>14</v>
      </c>
      <c r="K342" t="str">
        <f>IF(Dispute[[#This Row],[Status]] = "In Progress", IF(Dispute[[#This Row],[Time_Line]]&gt;5, "Overdue", "Within SLA"), "Closed")</f>
        <v>Closed</v>
      </c>
    </row>
    <row r="343" spans="1:11" x14ac:dyDescent="0.25">
      <c r="A343" t="s">
        <v>363</v>
      </c>
      <c r="B343" s="1">
        <v>45702</v>
      </c>
      <c r="C343" s="1">
        <v>45711</v>
      </c>
      <c r="D343" s="4">
        <f>IF(OR(Dispute[[#This Row],[Resolution_Date]]="",E343 = 0), "", E343-C343)</f>
        <v>5</v>
      </c>
      <c r="E343" s="1">
        <v>45716</v>
      </c>
      <c r="F343" t="s">
        <v>10</v>
      </c>
      <c r="G343" t="s">
        <v>11</v>
      </c>
      <c r="H343" t="s">
        <v>19</v>
      </c>
      <c r="I343" s="2">
        <v>997.45001220703125</v>
      </c>
      <c r="J343" t="s">
        <v>14</v>
      </c>
      <c r="K343" t="str">
        <f>IF(Dispute[[#This Row],[Status]] = "In Progress", IF(Dispute[[#This Row],[Time_Line]]&gt;5, "Overdue", "Within SLA"), "Closed")</f>
        <v>Closed</v>
      </c>
    </row>
    <row r="344" spans="1:11" x14ac:dyDescent="0.25">
      <c r="A344" t="s">
        <v>364</v>
      </c>
      <c r="B344" s="1">
        <v>45681</v>
      </c>
      <c r="C344" s="1">
        <v>45685</v>
      </c>
      <c r="D344" s="4">
        <f>IF(OR(Dispute[[#This Row],[Resolution_Date]]="",E344 = 0), "", E344-C344)</f>
        <v>2</v>
      </c>
      <c r="E344" s="1">
        <v>45687</v>
      </c>
      <c r="F344" t="s">
        <v>10</v>
      </c>
      <c r="G344" t="s">
        <v>18</v>
      </c>
      <c r="H344" t="s">
        <v>12</v>
      </c>
      <c r="I344" s="2">
        <v>173.41999816894531</v>
      </c>
      <c r="J344" t="s">
        <v>14</v>
      </c>
      <c r="K344" t="str">
        <f>IF(Dispute[[#This Row],[Status]] = "In Progress", IF(Dispute[[#This Row],[Time_Line]]&gt;5, "Overdue", "Within SLA"), "Closed")</f>
        <v>Closed</v>
      </c>
    </row>
    <row r="345" spans="1:11" x14ac:dyDescent="0.25">
      <c r="A345" t="s">
        <v>365</v>
      </c>
      <c r="B345" s="1">
        <v>45689</v>
      </c>
      <c r="C345" s="1">
        <v>45699</v>
      </c>
      <c r="D345" s="4" t="str">
        <f>IF(OR(Dispute[[#This Row],[Resolution_Date]]="",E345 = 0), "", E345-C345)</f>
        <v/>
      </c>
      <c r="F345" t="s">
        <v>25</v>
      </c>
      <c r="G345" t="s">
        <v>11</v>
      </c>
      <c r="H345" t="s">
        <v>12</v>
      </c>
      <c r="I345" s="2">
        <v>229.60000610351563</v>
      </c>
      <c r="J345" t="s">
        <v>46</v>
      </c>
      <c r="K345" t="str">
        <f>IF(Dispute[[#This Row],[Status]] = "In Progress", IF(Dispute[[#This Row],[Time_Line]]&gt;5, "Overdue", "Within SLA"), "Closed")</f>
        <v>Overdue</v>
      </c>
    </row>
    <row r="346" spans="1:11" x14ac:dyDescent="0.25">
      <c r="A346" t="s">
        <v>366</v>
      </c>
      <c r="B346" s="1">
        <v>45667</v>
      </c>
      <c r="C346" s="1">
        <v>45672</v>
      </c>
      <c r="D346" s="4">
        <f>IF(OR(Dispute[[#This Row],[Resolution_Date]]="",E346 = 0), "", E346-C346)</f>
        <v>2</v>
      </c>
      <c r="E346" s="1">
        <v>45674</v>
      </c>
      <c r="F346" t="s">
        <v>10</v>
      </c>
      <c r="G346" t="s">
        <v>22</v>
      </c>
      <c r="H346" t="s">
        <v>23</v>
      </c>
      <c r="I346" s="2">
        <v>107.76999664306641</v>
      </c>
      <c r="J346" t="s">
        <v>14</v>
      </c>
      <c r="K346" t="str">
        <f>IF(Dispute[[#This Row],[Status]] = "In Progress", IF(Dispute[[#This Row],[Time_Line]]&gt;5, "Overdue", "Within SLA"), "Closed")</f>
        <v>Closed</v>
      </c>
    </row>
    <row r="347" spans="1:11" x14ac:dyDescent="0.25">
      <c r="A347" t="s">
        <v>367</v>
      </c>
      <c r="B347" s="1">
        <v>45714</v>
      </c>
      <c r="C347" s="1">
        <v>45724</v>
      </c>
      <c r="D347" s="4" t="str">
        <f>IF(OR(Dispute[[#This Row],[Resolution_Date]]="",E347 = 0), "", E347-C347)</f>
        <v/>
      </c>
      <c r="F347" t="s">
        <v>10</v>
      </c>
      <c r="G347" t="s">
        <v>22</v>
      </c>
      <c r="H347" t="s">
        <v>12</v>
      </c>
      <c r="I347" s="2">
        <v>758.79998779296875</v>
      </c>
      <c r="J347" t="s">
        <v>46</v>
      </c>
      <c r="K347" t="str">
        <f>IF(Dispute[[#This Row],[Status]] = "In Progress", IF(Dispute[[#This Row],[Time_Line]]&gt;5, "Overdue", "Within SLA"), "Closed")</f>
        <v>Overdue</v>
      </c>
    </row>
    <row r="348" spans="1:11" x14ac:dyDescent="0.25">
      <c r="A348" t="s">
        <v>368</v>
      </c>
      <c r="B348" s="1">
        <v>45687</v>
      </c>
      <c r="C348" s="1">
        <v>45693</v>
      </c>
      <c r="D348" s="4" t="str">
        <f>IF(OR(Dispute[[#This Row],[Resolution_Date]]="",E348 = 0), "", E348-C348)</f>
        <v/>
      </c>
      <c r="F348" t="s">
        <v>10</v>
      </c>
      <c r="G348" t="s">
        <v>22</v>
      </c>
      <c r="H348" t="s">
        <v>23</v>
      </c>
      <c r="I348" s="2">
        <v>1074.3199462890625</v>
      </c>
      <c r="J348" t="s">
        <v>46</v>
      </c>
      <c r="K348" t="str">
        <f>IF(Dispute[[#This Row],[Status]] = "In Progress", IF(Dispute[[#This Row],[Time_Line]]&gt;5, "Overdue", "Within SLA"), "Closed")</f>
        <v>Overdue</v>
      </c>
    </row>
    <row r="349" spans="1:11" x14ac:dyDescent="0.25">
      <c r="A349" t="s">
        <v>369</v>
      </c>
      <c r="B349" s="1">
        <v>45704</v>
      </c>
      <c r="C349" s="1">
        <v>45710</v>
      </c>
      <c r="D349" s="4">
        <f>IF(OR(Dispute[[#This Row],[Resolution_Date]]="",E349 = 0), "", E349-C349)</f>
        <v>2</v>
      </c>
      <c r="E349" s="1">
        <v>45712</v>
      </c>
      <c r="F349" t="s">
        <v>10</v>
      </c>
      <c r="G349" t="s">
        <v>11</v>
      </c>
      <c r="H349" t="s">
        <v>30</v>
      </c>
      <c r="I349" s="2">
        <v>602.219970703125</v>
      </c>
      <c r="J349" t="s">
        <v>14</v>
      </c>
      <c r="K349" t="str">
        <f>IF(Dispute[[#This Row],[Status]] = "In Progress", IF(Dispute[[#This Row],[Time_Line]]&gt;5, "Overdue", "Within SLA"), "Closed")</f>
        <v>Closed</v>
      </c>
    </row>
    <row r="350" spans="1:11" x14ac:dyDescent="0.25">
      <c r="A350" t="s">
        <v>370</v>
      </c>
      <c r="B350" s="1">
        <v>45679</v>
      </c>
      <c r="C350" s="1">
        <v>45685</v>
      </c>
      <c r="D350" s="4">
        <f>IF(OR(Dispute[[#This Row],[Resolution_Date]]="",E350 = 0), "", E350-C350)</f>
        <v>5</v>
      </c>
      <c r="E350" s="1">
        <v>45690</v>
      </c>
      <c r="F350" t="s">
        <v>25</v>
      </c>
      <c r="G350" t="s">
        <v>18</v>
      </c>
      <c r="H350" t="s">
        <v>19</v>
      </c>
      <c r="I350" s="2">
        <v>736.65997314453125</v>
      </c>
      <c r="J350" t="s">
        <v>14</v>
      </c>
      <c r="K350" t="str">
        <f>IF(Dispute[[#This Row],[Status]] = "In Progress", IF(Dispute[[#This Row],[Time_Line]]&gt;5, "Overdue", "Within SLA"), "Closed")</f>
        <v>Closed</v>
      </c>
    </row>
    <row r="351" spans="1:11" x14ac:dyDescent="0.25">
      <c r="A351" t="s">
        <v>371</v>
      </c>
      <c r="B351" s="1">
        <v>45690</v>
      </c>
      <c r="C351" s="1">
        <v>45696</v>
      </c>
      <c r="D351" s="4">
        <f>IF(OR(Dispute[[#This Row],[Resolution_Date]]="",E351 = 0), "", E351-C351)</f>
        <v>6</v>
      </c>
      <c r="E351" s="1">
        <v>45702</v>
      </c>
      <c r="F351" t="s">
        <v>25</v>
      </c>
      <c r="G351" t="s">
        <v>18</v>
      </c>
      <c r="H351" t="s">
        <v>12</v>
      </c>
      <c r="I351" s="2">
        <v>1091</v>
      </c>
      <c r="J351" t="s">
        <v>14</v>
      </c>
      <c r="K351" t="str">
        <f>IF(Dispute[[#This Row],[Status]] = "In Progress", IF(Dispute[[#This Row],[Time_Line]]&gt;5, "Overdue", "Within SLA"), "Closed")</f>
        <v>Closed</v>
      </c>
    </row>
    <row r="352" spans="1:11" x14ac:dyDescent="0.25">
      <c r="A352" t="s">
        <v>372</v>
      </c>
      <c r="B352" s="1">
        <v>45707</v>
      </c>
      <c r="C352" s="1">
        <v>45715</v>
      </c>
      <c r="D352" s="4">
        <f>IF(OR(Dispute[[#This Row],[Resolution_Date]]="",E352 = 0), "", E352-C352)</f>
        <v>5</v>
      </c>
      <c r="E352" s="1">
        <v>45720</v>
      </c>
      <c r="F352" t="s">
        <v>25</v>
      </c>
      <c r="G352" t="s">
        <v>22</v>
      </c>
      <c r="H352" t="s">
        <v>30</v>
      </c>
      <c r="I352" s="2">
        <v>1072.8499755859375</v>
      </c>
      <c r="J352" t="s">
        <v>14</v>
      </c>
      <c r="K352" t="str">
        <f>IF(Dispute[[#This Row],[Status]] = "In Progress", IF(Dispute[[#This Row],[Time_Line]]&gt;5, "Overdue", "Within SLA"), "Closed")</f>
        <v>Closed</v>
      </c>
    </row>
    <row r="353" spans="1:11" x14ac:dyDescent="0.25">
      <c r="A353" t="s">
        <v>373</v>
      </c>
      <c r="B353" s="1">
        <v>45679</v>
      </c>
      <c r="C353" s="1">
        <v>45682</v>
      </c>
      <c r="D353" s="4">
        <f>IF(OR(Dispute[[#This Row],[Resolution_Date]]="",E353 = 0), "", E353-C353)</f>
        <v>2</v>
      </c>
      <c r="E353" s="1">
        <v>45684</v>
      </c>
      <c r="F353" t="s">
        <v>10</v>
      </c>
      <c r="G353" t="s">
        <v>18</v>
      </c>
      <c r="H353" t="s">
        <v>30</v>
      </c>
      <c r="I353" s="2">
        <v>1002.5700073242188</v>
      </c>
      <c r="J353" t="s">
        <v>9</v>
      </c>
      <c r="K353" t="str">
        <f>IF(Dispute[[#This Row],[Status]] = "In Progress", IF(Dispute[[#This Row],[Time_Line]]&gt;5, "Overdue", "Within SLA"), "Closed")</f>
        <v>Closed</v>
      </c>
    </row>
    <row r="354" spans="1:11" x14ac:dyDescent="0.25">
      <c r="A354" t="s">
        <v>374</v>
      </c>
      <c r="B354" s="1">
        <v>45692</v>
      </c>
      <c r="C354" s="1">
        <v>45697</v>
      </c>
      <c r="D354" s="4">
        <f>IF(OR(Dispute[[#This Row],[Resolution_Date]]="",E354 = 0), "", E354-C354)</f>
        <v>7</v>
      </c>
      <c r="E354" s="1">
        <v>45704</v>
      </c>
      <c r="F354" t="s">
        <v>15</v>
      </c>
      <c r="G354" t="s">
        <v>18</v>
      </c>
      <c r="H354" t="s">
        <v>23</v>
      </c>
      <c r="I354" s="2">
        <v>693.05999755859375</v>
      </c>
      <c r="J354" t="s">
        <v>9</v>
      </c>
      <c r="K354" t="str">
        <f>IF(Dispute[[#This Row],[Status]] = "In Progress", IF(Dispute[[#This Row],[Time_Line]]&gt;5, "Overdue", "Within SLA"), "Closed")</f>
        <v>Closed</v>
      </c>
    </row>
    <row r="355" spans="1:11" x14ac:dyDescent="0.25">
      <c r="A355" t="s">
        <v>375</v>
      </c>
      <c r="B355" s="1">
        <v>45677</v>
      </c>
      <c r="C355" s="1">
        <v>45682</v>
      </c>
      <c r="D355" s="4">
        <f>IF(OR(Dispute[[#This Row],[Resolution_Date]]="",E355 = 0), "", E355-C355)</f>
        <v>3</v>
      </c>
      <c r="E355" s="1">
        <v>45685</v>
      </c>
      <c r="F355" t="s">
        <v>25</v>
      </c>
      <c r="G355" t="s">
        <v>16</v>
      </c>
      <c r="H355" t="s">
        <v>12</v>
      </c>
      <c r="I355" s="2">
        <v>1185.6600341796875</v>
      </c>
      <c r="J355" t="s">
        <v>9</v>
      </c>
      <c r="K355" t="str">
        <f>IF(Dispute[[#This Row],[Status]] = "In Progress", IF(Dispute[[#This Row],[Time_Line]]&gt;5, "Overdue", "Within SLA"), "Closed")</f>
        <v>Closed</v>
      </c>
    </row>
    <row r="356" spans="1:11" x14ac:dyDescent="0.25">
      <c r="A356" t="s">
        <v>376</v>
      </c>
      <c r="B356" s="1">
        <v>45708</v>
      </c>
      <c r="C356" s="1">
        <v>45709</v>
      </c>
      <c r="D356" s="4">
        <f>IF(OR(Dispute[[#This Row],[Resolution_Date]]="",E356 = 0), "", E356-C356)</f>
        <v>7</v>
      </c>
      <c r="E356" s="1">
        <v>45716</v>
      </c>
      <c r="F356" t="s">
        <v>10</v>
      </c>
      <c r="G356" t="s">
        <v>11</v>
      </c>
      <c r="H356" t="s">
        <v>30</v>
      </c>
      <c r="I356" s="2">
        <v>272.95999145507813</v>
      </c>
      <c r="J356" t="s">
        <v>14</v>
      </c>
      <c r="K356" t="str">
        <f>IF(Dispute[[#This Row],[Status]] = "In Progress", IF(Dispute[[#This Row],[Time_Line]]&gt;5, "Overdue", "Within SLA"), "Closed")</f>
        <v>Closed</v>
      </c>
    </row>
    <row r="357" spans="1:11" x14ac:dyDescent="0.25">
      <c r="A357" t="s">
        <v>377</v>
      </c>
      <c r="B357" s="1">
        <v>45715</v>
      </c>
      <c r="C357" s="1">
        <v>45725</v>
      </c>
      <c r="D357" s="4">
        <f>IF(OR(Dispute[[#This Row],[Resolution_Date]]="",E357 = 0), "", E357-C357)</f>
        <v>7</v>
      </c>
      <c r="E357" s="1">
        <v>45732</v>
      </c>
      <c r="F357" t="s">
        <v>10</v>
      </c>
      <c r="G357" t="s">
        <v>18</v>
      </c>
      <c r="H357" t="s">
        <v>12</v>
      </c>
      <c r="I357" s="2">
        <v>869.780029296875</v>
      </c>
      <c r="J357" t="s">
        <v>9</v>
      </c>
      <c r="K357" t="str">
        <f>IF(Dispute[[#This Row],[Status]] = "In Progress", IF(Dispute[[#This Row],[Time_Line]]&gt;5, "Overdue", "Within SLA"), "Closed")</f>
        <v>Closed</v>
      </c>
    </row>
    <row r="358" spans="1:11" x14ac:dyDescent="0.25">
      <c r="A358" t="s">
        <v>378</v>
      </c>
      <c r="B358" s="1">
        <v>45671</v>
      </c>
      <c r="C358" s="1">
        <v>45679</v>
      </c>
      <c r="D358" s="4">
        <f>IF(OR(Dispute[[#This Row],[Resolution_Date]]="",E358 = 0), "", E358-C358)</f>
        <v>1</v>
      </c>
      <c r="E358" s="1">
        <v>45680</v>
      </c>
      <c r="F358" t="s">
        <v>10</v>
      </c>
      <c r="G358" t="s">
        <v>18</v>
      </c>
      <c r="H358" t="s">
        <v>12</v>
      </c>
      <c r="I358" s="2">
        <v>688.69000244140625</v>
      </c>
      <c r="J358" t="s">
        <v>9</v>
      </c>
      <c r="K358" t="str">
        <f>IF(Dispute[[#This Row],[Status]] = "In Progress", IF(Dispute[[#This Row],[Time_Line]]&gt;5, "Overdue", "Within SLA"), "Closed")</f>
        <v>Closed</v>
      </c>
    </row>
    <row r="359" spans="1:11" x14ac:dyDescent="0.25">
      <c r="A359" t="s">
        <v>379</v>
      </c>
      <c r="B359" s="1">
        <v>45676</v>
      </c>
      <c r="C359" s="1">
        <v>45685</v>
      </c>
      <c r="D359" s="4">
        <f>IF(OR(Dispute[[#This Row],[Resolution_Date]]="",E359 = 0), "", E359-C359)</f>
        <v>7</v>
      </c>
      <c r="E359" s="1">
        <v>45692</v>
      </c>
      <c r="F359" t="s">
        <v>25</v>
      </c>
      <c r="G359" t="s">
        <v>11</v>
      </c>
      <c r="H359" t="s">
        <v>19</v>
      </c>
      <c r="I359" s="2">
        <v>1029.18994140625</v>
      </c>
      <c r="J359" t="s">
        <v>14</v>
      </c>
      <c r="K359" t="str">
        <f>IF(Dispute[[#This Row],[Status]] = "In Progress", IF(Dispute[[#This Row],[Time_Line]]&gt;5, "Overdue", "Within SLA"), "Closed")</f>
        <v>Closed</v>
      </c>
    </row>
    <row r="360" spans="1:11" x14ac:dyDescent="0.25">
      <c r="A360" t="s">
        <v>380</v>
      </c>
      <c r="B360" s="1">
        <v>45704</v>
      </c>
      <c r="C360" s="1">
        <v>45714</v>
      </c>
      <c r="D360" s="4">
        <f>IF(OR(Dispute[[#This Row],[Resolution_Date]]="",E360 = 0), "", E360-C360)</f>
        <v>3</v>
      </c>
      <c r="E360" s="1">
        <v>45717</v>
      </c>
      <c r="F360" t="s">
        <v>10</v>
      </c>
      <c r="G360" t="s">
        <v>22</v>
      </c>
      <c r="H360" t="s">
        <v>12</v>
      </c>
      <c r="I360" s="2">
        <v>218.97999572753906</v>
      </c>
      <c r="J360" t="s">
        <v>14</v>
      </c>
      <c r="K360" t="str">
        <f>IF(Dispute[[#This Row],[Status]] = "In Progress", IF(Dispute[[#This Row],[Time_Line]]&gt;5, "Overdue", "Within SLA"), "Closed")</f>
        <v>Closed</v>
      </c>
    </row>
    <row r="361" spans="1:11" x14ac:dyDescent="0.25">
      <c r="A361" t="s">
        <v>381</v>
      </c>
      <c r="B361" s="1">
        <v>45687</v>
      </c>
      <c r="C361" s="1">
        <v>45691</v>
      </c>
      <c r="D361" s="4">
        <f>IF(OR(Dispute[[#This Row],[Resolution_Date]]="",E361 = 0), "", E361-C361)</f>
        <v>6</v>
      </c>
      <c r="E361" s="1">
        <v>45697</v>
      </c>
      <c r="F361" t="s">
        <v>15</v>
      </c>
      <c r="G361" t="s">
        <v>18</v>
      </c>
      <c r="H361" t="s">
        <v>30</v>
      </c>
      <c r="I361" s="2">
        <v>1095.1300048828125</v>
      </c>
      <c r="J361" t="s">
        <v>9</v>
      </c>
      <c r="K361" t="str">
        <f>IF(Dispute[[#This Row],[Status]] = "In Progress", IF(Dispute[[#This Row],[Time_Line]]&gt;5, "Overdue", "Within SLA"), "Closed")</f>
        <v>Closed</v>
      </c>
    </row>
    <row r="362" spans="1:11" x14ac:dyDescent="0.25">
      <c r="A362" t="s">
        <v>382</v>
      </c>
      <c r="B362" s="1">
        <v>45698</v>
      </c>
      <c r="C362" s="1">
        <v>45705</v>
      </c>
      <c r="D362" s="4">
        <f>IF(OR(Dispute[[#This Row],[Resolution_Date]]="",E362 = 0), "", E362-C362)</f>
        <v>2</v>
      </c>
      <c r="E362" s="1">
        <v>45707</v>
      </c>
      <c r="F362" t="s">
        <v>15</v>
      </c>
      <c r="G362" t="s">
        <v>11</v>
      </c>
      <c r="H362" t="s">
        <v>19</v>
      </c>
      <c r="I362" s="2">
        <v>452.02999877929688</v>
      </c>
      <c r="J362" t="s">
        <v>9</v>
      </c>
      <c r="K362" t="str">
        <f>IF(Dispute[[#This Row],[Status]] = "In Progress", IF(Dispute[[#This Row],[Time_Line]]&gt;5, "Overdue", "Within SLA"), "Closed")</f>
        <v>Closed</v>
      </c>
    </row>
    <row r="363" spans="1:11" x14ac:dyDescent="0.25">
      <c r="A363" t="s">
        <v>383</v>
      </c>
      <c r="B363" s="1">
        <v>45685</v>
      </c>
      <c r="C363" s="1">
        <v>45686</v>
      </c>
      <c r="D363" s="4">
        <f>IF(OR(Dispute[[#This Row],[Resolution_Date]]="",E363 = 0), "", E363-C363)</f>
        <v>2</v>
      </c>
      <c r="E363" s="1">
        <v>45688</v>
      </c>
      <c r="F363" t="s">
        <v>10</v>
      </c>
      <c r="G363" t="s">
        <v>18</v>
      </c>
      <c r="H363" t="s">
        <v>23</v>
      </c>
      <c r="I363" s="2">
        <v>904.0999755859375</v>
      </c>
      <c r="J363" t="s">
        <v>9</v>
      </c>
      <c r="K363" t="str">
        <f>IF(Dispute[[#This Row],[Status]] = "In Progress", IF(Dispute[[#This Row],[Time_Line]]&gt;5, "Overdue", "Within SLA"), "Closed")</f>
        <v>Closed</v>
      </c>
    </row>
    <row r="364" spans="1:11" x14ac:dyDescent="0.25">
      <c r="A364" t="s">
        <v>384</v>
      </c>
      <c r="B364" s="1">
        <v>45714</v>
      </c>
      <c r="C364" s="1">
        <v>45715</v>
      </c>
      <c r="D364" s="4">
        <f>IF(OR(Dispute[[#This Row],[Resolution_Date]]="",E364 = 0), "", E364-C364)</f>
        <v>7</v>
      </c>
      <c r="E364" s="1">
        <v>45722</v>
      </c>
      <c r="F364" t="s">
        <v>15</v>
      </c>
      <c r="G364" t="s">
        <v>18</v>
      </c>
      <c r="H364" t="s">
        <v>30</v>
      </c>
      <c r="I364" s="2">
        <v>834.510009765625</v>
      </c>
      <c r="J364" t="s">
        <v>9</v>
      </c>
      <c r="K364" t="str">
        <f>IF(Dispute[[#This Row],[Status]] = "In Progress", IF(Dispute[[#This Row],[Time_Line]]&gt;5, "Overdue", "Within SLA"), "Closed")</f>
        <v>Closed</v>
      </c>
    </row>
    <row r="365" spans="1:11" x14ac:dyDescent="0.25">
      <c r="A365" t="s">
        <v>385</v>
      </c>
      <c r="B365" s="1">
        <v>45717</v>
      </c>
      <c r="C365" s="1">
        <v>45718</v>
      </c>
      <c r="D365" s="4">
        <f>IF(OR(Dispute[[#This Row],[Resolution_Date]]="",E365 = 0), "", E365-C365)</f>
        <v>7</v>
      </c>
      <c r="E365" s="1">
        <v>45725</v>
      </c>
      <c r="F365" t="s">
        <v>25</v>
      </c>
      <c r="G365" t="s">
        <v>22</v>
      </c>
      <c r="H365" t="s">
        <v>30</v>
      </c>
      <c r="I365" s="2">
        <v>869.510009765625</v>
      </c>
      <c r="J365" t="s">
        <v>9</v>
      </c>
      <c r="K365" t="str">
        <f>IF(Dispute[[#This Row],[Status]] = "In Progress", IF(Dispute[[#This Row],[Time_Line]]&gt;5, "Overdue", "Within SLA"), "Closed")</f>
        <v>Closed</v>
      </c>
    </row>
    <row r="366" spans="1:11" x14ac:dyDescent="0.25">
      <c r="A366" t="s">
        <v>386</v>
      </c>
      <c r="B366" s="1">
        <v>45686</v>
      </c>
      <c r="C366" s="1">
        <v>45694</v>
      </c>
      <c r="D366" s="4">
        <f>IF(OR(Dispute[[#This Row],[Resolution_Date]]="",E366 = 0), "", E366-C366)</f>
        <v>3</v>
      </c>
      <c r="E366" s="1">
        <v>45697</v>
      </c>
      <c r="F366" t="s">
        <v>15</v>
      </c>
      <c r="G366" t="s">
        <v>22</v>
      </c>
      <c r="H366" t="s">
        <v>19</v>
      </c>
      <c r="I366" s="2">
        <v>500.260009765625</v>
      </c>
      <c r="J366" t="s">
        <v>9</v>
      </c>
      <c r="K366" t="str">
        <f>IF(Dispute[[#This Row],[Status]] = "In Progress", IF(Dispute[[#This Row],[Time_Line]]&gt;5, "Overdue", "Within SLA"), "Closed")</f>
        <v>Closed</v>
      </c>
    </row>
    <row r="367" spans="1:11" x14ac:dyDescent="0.25">
      <c r="A367" t="s">
        <v>387</v>
      </c>
      <c r="B367" s="1">
        <v>45706</v>
      </c>
      <c r="C367" s="1">
        <v>45715</v>
      </c>
      <c r="D367" s="4" t="str">
        <f>IF(OR(Dispute[[#This Row],[Resolution_Date]]="",E367 = 0), "", E367-C367)</f>
        <v/>
      </c>
      <c r="F367" t="s">
        <v>15</v>
      </c>
      <c r="G367" t="s">
        <v>18</v>
      </c>
      <c r="H367" t="s">
        <v>19</v>
      </c>
      <c r="I367" s="2">
        <v>1200.5899658203125</v>
      </c>
      <c r="J367" t="s">
        <v>46</v>
      </c>
      <c r="K367" t="str">
        <f>IF(Dispute[[#This Row],[Status]] = "In Progress", IF(Dispute[[#This Row],[Time_Line]]&gt;5, "Overdue", "Within SLA"), "Closed")</f>
        <v>Overdue</v>
      </c>
    </row>
    <row r="368" spans="1:11" x14ac:dyDescent="0.25">
      <c r="A368" t="s">
        <v>388</v>
      </c>
      <c r="B368" s="1">
        <v>45672</v>
      </c>
      <c r="C368" s="1">
        <v>45680</v>
      </c>
      <c r="D368" s="4">
        <f>IF(OR(Dispute[[#This Row],[Resolution_Date]]="",E368 = 0), "", E368-C368)</f>
        <v>4</v>
      </c>
      <c r="E368" s="1">
        <v>45684</v>
      </c>
      <c r="F368" t="s">
        <v>15</v>
      </c>
      <c r="G368" t="s">
        <v>11</v>
      </c>
      <c r="H368" t="s">
        <v>23</v>
      </c>
      <c r="I368" s="2">
        <v>1178.4599609375</v>
      </c>
      <c r="J368" t="s">
        <v>9</v>
      </c>
      <c r="K368" t="str">
        <f>IF(Dispute[[#This Row],[Status]] = "In Progress", IF(Dispute[[#This Row],[Time_Line]]&gt;5, "Overdue", "Within SLA"), "Closed")</f>
        <v>Closed</v>
      </c>
    </row>
    <row r="369" spans="1:11" x14ac:dyDescent="0.25">
      <c r="A369" t="s">
        <v>389</v>
      </c>
      <c r="B369" s="1">
        <v>45664</v>
      </c>
      <c r="C369" s="1">
        <v>45674</v>
      </c>
      <c r="D369" s="4">
        <f>IF(OR(Dispute[[#This Row],[Resolution_Date]]="",E369 = 0), "", E369-C369)</f>
        <v>4</v>
      </c>
      <c r="E369" s="1">
        <v>45678</v>
      </c>
      <c r="F369" t="s">
        <v>10</v>
      </c>
      <c r="G369" t="s">
        <v>11</v>
      </c>
      <c r="H369" t="s">
        <v>30</v>
      </c>
      <c r="I369" s="2">
        <v>641.6500244140625</v>
      </c>
      <c r="J369" t="s">
        <v>14</v>
      </c>
      <c r="K369" t="str">
        <f>IF(Dispute[[#This Row],[Status]] = "In Progress", IF(Dispute[[#This Row],[Time_Line]]&gt;5, "Overdue", "Within SLA"), "Closed")</f>
        <v>Closed</v>
      </c>
    </row>
    <row r="370" spans="1:11" x14ac:dyDescent="0.25">
      <c r="A370" t="s">
        <v>390</v>
      </c>
      <c r="B370" s="1">
        <v>45689</v>
      </c>
      <c r="C370" s="1">
        <v>45698</v>
      </c>
      <c r="D370" s="4" t="str">
        <f>IF(OR(Dispute[[#This Row],[Resolution_Date]]="",E370 = 0), "", E370-C370)</f>
        <v/>
      </c>
      <c r="F370" t="s">
        <v>10</v>
      </c>
      <c r="G370" t="s">
        <v>22</v>
      </c>
      <c r="H370" t="s">
        <v>23</v>
      </c>
      <c r="I370" s="2">
        <v>658.489990234375</v>
      </c>
      <c r="J370" t="s">
        <v>46</v>
      </c>
      <c r="K370" t="str">
        <f>IF(Dispute[[#This Row],[Status]] = "In Progress", IF(Dispute[[#This Row],[Time_Line]]&gt;5, "Overdue", "Within SLA"), "Closed")</f>
        <v>Overdue</v>
      </c>
    </row>
    <row r="371" spans="1:11" x14ac:dyDescent="0.25">
      <c r="A371" t="s">
        <v>391</v>
      </c>
      <c r="B371" s="1">
        <v>45715</v>
      </c>
      <c r="C371" s="1">
        <v>45722</v>
      </c>
      <c r="D371" s="4">
        <f>IF(OR(Dispute[[#This Row],[Resolution_Date]]="",E371 = 0), "", E371-C371)</f>
        <v>7</v>
      </c>
      <c r="E371" s="1">
        <v>45729</v>
      </c>
      <c r="F371" t="s">
        <v>25</v>
      </c>
      <c r="G371" t="s">
        <v>11</v>
      </c>
      <c r="H371" t="s">
        <v>19</v>
      </c>
      <c r="I371" s="2">
        <v>453.29998779296875</v>
      </c>
      <c r="J371" t="s">
        <v>14</v>
      </c>
      <c r="K371" t="str">
        <f>IF(Dispute[[#This Row],[Status]] = "In Progress", IF(Dispute[[#This Row],[Time_Line]]&gt;5, "Overdue", "Within SLA"), "Closed")</f>
        <v>Closed</v>
      </c>
    </row>
    <row r="372" spans="1:11" x14ac:dyDescent="0.25">
      <c r="A372" t="s">
        <v>392</v>
      </c>
      <c r="B372" s="1">
        <v>45716</v>
      </c>
      <c r="C372" s="1">
        <v>45722</v>
      </c>
      <c r="D372" s="4">
        <f>IF(OR(Dispute[[#This Row],[Resolution_Date]]="",E372 = 0), "", E372-C372)</f>
        <v>4</v>
      </c>
      <c r="E372" s="1">
        <v>45726</v>
      </c>
      <c r="F372" t="s">
        <v>15</v>
      </c>
      <c r="G372" t="s">
        <v>11</v>
      </c>
      <c r="H372" t="s">
        <v>23</v>
      </c>
      <c r="I372" s="2">
        <v>951.3800048828125</v>
      </c>
      <c r="J372" t="s">
        <v>14</v>
      </c>
      <c r="K372" t="str">
        <f>IF(Dispute[[#This Row],[Status]] = "In Progress", IF(Dispute[[#This Row],[Time_Line]]&gt;5, "Overdue", "Within SLA"), "Closed")</f>
        <v>Closed</v>
      </c>
    </row>
    <row r="373" spans="1:11" x14ac:dyDescent="0.25">
      <c r="A373" t="s">
        <v>393</v>
      </c>
      <c r="B373" s="1">
        <v>45676</v>
      </c>
      <c r="C373" s="1">
        <v>45681</v>
      </c>
      <c r="D373" s="4">
        <f>IF(OR(Dispute[[#This Row],[Resolution_Date]]="",E373 = 0), "", E373-C373)</f>
        <v>1</v>
      </c>
      <c r="E373" s="1">
        <v>45682</v>
      </c>
      <c r="F373" t="s">
        <v>10</v>
      </c>
      <c r="G373" t="s">
        <v>22</v>
      </c>
      <c r="H373" t="s">
        <v>30</v>
      </c>
      <c r="I373" s="2">
        <v>86.660003662109375</v>
      </c>
      <c r="J373" t="s">
        <v>14</v>
      </c>
      <c r="K373" t="str">
        <f>IF(Dispute[[#This Row],[Status]] = "In Progress", IF(Dispute[[#This Row],[Time_Line]]&gt;5, "Overdue", "Within SLA"), "Closed")</f>
        <v>Closed</v>
      </c>
    </row>
    <row r="374" spans="1:11" x14ac:dyDescent="0.25">
      <c r="A374" t="s">
        <v>394</v>
      </c>
      <c r="B374" s="1">
        <v>45711</v>
      </c>
      <c r="C374" s="1">
        <v>45716</v>
      </c>
      <c r="D374" s="4">
        <f>IF(OR(Dispute[[#This Row],[Resolution_Date]]="",E374 = 0), "", E374-C374)</f>
        <v>2</v>
      </c>
      <c r="E374" s="1">
        <v>45718</v>
      </c>
      <c r="F374" t="s">
        <v>15</v>
      </c>
      <c r="G374" t="s">
        <v>18</v>
      </c>
      <c r="H374" t="s">
        <v>23</v>
      </c>
      <c r="I374" s="2">
        <v>1046.18994140625</v>
      </c>
      <c r="J374" t="s">
        <v>9</v>
      </c>
      <c r="K374" t="str">
        <f>IF(Dispute[[#This Row],[Status]] = "In Progress", IF(Dispute[[#This Row],[Time_Line]]&gt;5, "Overdue", "Within SLA"), "Closed")</f>
        <v>Closed</v>
      </c>
    </row>
    <row r="375" spans="1:11" x14ac:dyDescent="0.25">
      <c r="A375" t="s">
        <v>395</v>
      </c>
      <c r="B375" s="1">
        <v>45685</v>
      </c>
      <c r="C375" s="1">
        <v>45695</v>
      </c>
      <c r="D375" s="4">
        <f>IF(OR(Dispute[[#This Row],[Resolution_Date]]="",E375 = 0), "", E375-C375)</f>
        <v>5</v>
      </c>
      <c r="E375" s="1">
        <v>45700</v>
      </c>
      <c r="F375" t="s">
        <v>25</v>
      </c>
      <c r="G375" t="s">
        <v>11</v>
      </c>
      <c r="H375" t="s">
        <v>19</v>
      </c>
      <c r="I375" s="2">
        <v>779.239990234375</v>
      </c>
      <c r="J375" t="s">
        <v>14</v>
      </c>
      <c r="K375" t="str">
        <f>IF(Dispute[[#This Row],[Status]] = "In Progress", IF(Dispute[[#This Row],[Time_Line]]&gt;5, "Overdue", "Within SLA"), "Closed")</f>
        <v>Closed</v>
      </c>
    </row>
    <row r="376" spans="1:11" x14ac:dyDescent="0.25">
      <c r="A376" t="s">
        <v>396</v>
      </c>
      <c r="B376" s="1">
        <v>45690</v>
      </c>
      <c r="C376" s="1">
        <v>45700</v>
      </c>
      <c r="D376" s="4">
        <f>IF(OR(Dispute[[#This Row],[Resolution_Date]]="",E376 = 0), "", E376-C376)</f>
        <v>5</v>
      </c>
      <c r="E376" s="1">
        <v>45705</v>
      </c>
      <c r="F376" t="s">
        <v>10</v>
      </c>
      <c r="G376" t="s">
        <v>18</v>
      </c>
      <c r="H376" t="s">
        <v>23</v>
      </c>
      <c r="I376" s="2">
        <v>38.319999694824219</v>
      </c>
      <c r="J376" t="s">
        <v>9</v>
      </c>
      <c r="K376" t="str">
        <f>IF(Dispute[[#This Row],[Status]] = "In Progress", IF(Dispute[[#This Row],[Time_Line]]&gt;5, "Overdue", "Within SLA"), "Closed")</f>
        <v>Closed</v>
      </c>
    </row>
    <row r="377" spans="1:11" x14ac:dyDescent="0.25">
      <c r="A377" t="s">
        <v>397</v>
      </c>
      <c r="B377" s="1">
        <v>45679</v>
      </c>
      <c r="C377" s="1">
        <v>45682</v>
      </c>
      <c r="D377" s="4" t="str">
        <f>IF(OR(Dispute[[#This Row],[Resolution_Date]]="",E377 = 0), "", E377-C377)</f>
        <v/>
      </c>
      <c r="F377" t="s">
        <v>15</v>
      </c>
      <c r="G377" t="s">
        <v>18</v>
      </c>
      <c r="H377" t="s">
        <v>30</v>
      </c>
      <c r="I377" s="2">
        <v>259.1199951171875</v>
      </c>
      <c r="J377" t="s">
        <v>46</v>
      </c>
      <c r="K377" t="str">
        <f>IF(Dispute[[#This Row],[Status]] = "In Progress", IF(Dispute[[#This Row],[Time_Line]]&gt;5, "Overdue", "Within SLA"), "Closed")</f>
        <v>Overdue</v>
      </c>
    </row>
    <row r="378" spans="1:11" x14ac:dyDescent="0.25">
      <c r="A378" t="s">
        <v>398</v>
      </c>
      <c r="B378" s="1">
        <v>45715</v>
      </c>
      <c r="C378" s="1">
        <v>45719</v>
      </c>
      <c r="D378" s="4">
        <f>IF(OR(Dispute[[#This Row],[Resolution_Date]]="",E378 = 0), "", E378-C378)</f>
        <v>6</v>
      </c>
      <c r="E378" s="1">
        <v>45725</v>
      </c>
      <c r="F378" t="s">
        <v>10</v>
      </c>
      <c r="G378" t="s">
        <v>11</v>
      </c>
      <c r="H378" t="s">
        <v>12</v>
      </c>
      <c r="I378" s="2">
        <v>906.1400146484375</v>
      </c>
      <c r="J378" t="s">
        <v>14</v>
      </c>
      <c r="K378" t="str">
        <f>IF(Dispute[[#This Row],[Status]] = "In Progress", IF(Dispute[[#This Row],[Time_Line]]&gt;5, "Overdue", "Within SLA"), "Closed")</f>
        <v>Closed</v>
      </c>
    </row>
    <row r="379" spans="1:11" x14ac:dyDescent="0.25">
      <c r="A379" t="s">
        <v>399</v>
      </c>
      <c r="B379" s="1">
        <v>45680</v>
      </c>
      <c r="C379" s="1">
        <v>45688</v>
      </c>
      <c r="D379" s="4">
        <f>IF(OR(Dispute[[#This Row],[Resolution_Date]]="",E379 = 0), "", E379-C379)</f>
        <v>1</v>
      </c>
      <c r="E379" s="1">
        <v>45689</v>
      </c>
      <c r="F379" t="s">
        <v>25</v>
      </c>
      <c r="G379" t="s">
        <v>22</v>
      </c>
      <c r="H379" t="s">
        <v>23</v>
      </c>
      <c r="I379" s="2">
        <v>511.1300048828125</v>
      </c>
      <c r="J379" t="s">
        <v>9</v>
      </c>
      <c r="K379" t="str">
        <f>IF(Dispute[[#This Row],[Status]] = "In Progress", IF(Dispute[[#This Row],[Time_Line]]&gt;5, "Overdue", "Within SLA"), "Closed")</f>
        <v>Closed</v>
      </c>
    </row>
    <row r="380" spans="1:11" x14ac:dyDescent="0.25">
      <c r="A380" t="s">
        <v>400</v>
      </c>
      <c r="B380" s="1">
        <v>45658</v>
      </c>
      <c r="C380" s="1">
        <v>45666</v>
      </c>
      <c r="D380" s="4">
        <f>IF(OR(Dispute[[#This Row],[Resolution_Date]]="",E380 = 0), "", E380-C380)</f>
        <v>1</v>
      </c>
      <c r="E380" s="1">
        <v>45667</v>
      </c>
      <c r="F380" t="s">
        <v>25</v>
      </c>
      <c r="G380" t="s">
        <v>16</v>
      </c>
      <c r="H380" t="s">
        <v>12</v>
      </c>
      <c r="I380" s="2">
        <v>287.35000610351563</v>
      </c>
      <c r="J380" t="s">
        <v>9</v>
      </c>
      <c r="K380" t="str">
        <f>IF(Dispute[[#This Row],[Status]] = "In Progress", IF(Dispute[[#This Row],[Time_Line]]&gt;5, "Overdue", "Within SLA"), "Closed")</f>
        <v>Closed</v>
      </c>
    </row>
    <row r="381" spans="1:11" x14ac:dyDescent="0.25">
      <c r="A381" t="s">
        <v>401</v>
      </c>
      <c r="B381" s="1">
        <v>45659</v>
      </c>
      <c r="C381" s="1">
        <v>45665</v>
      </c>
      <c r="D381" s="4" t="str">
        <f>IF(OR(Dispute[[#This Row],[Resolution_Date]]="",E381 = 0), "", E381-C381)</f>
        <v/>
      </c>
      <c r="F381" t="s">
        <v>15</v>
      </c>
      <c r="G381" t="s">
        <v>22</v>
      </c>
      <c r="H381" t="s">
        <v>23</v>
      </c>
      <c r="I381" s="2">
        <v>367.1199951171875</v>
      </c>
      <c r="J381" t="s">
        <v>46</v>
      </c>
      <c r="K381" t="str">
        <f>IF(Dispute[[#This Row],[Status]] = "In Progress", IF(Dispute[[#This Row],[Time_Line]]&gt;5, "Overdue", "Within SLA"), "Closed")</f>
        <v>Overdue</v>
      </c>
    </row>
    <row r="382" spans="1:11" x14ac:dyDescent="0.25">
      <c r="A382" t="s">
        <v>402</v>
      </c>
      <c r="B382" s="1">
        <v>45661</v>
      </c>
      <c r="C382" s="1">
        <v>45667</v>
      </c>
      <c r="D382" s="4">
        <f>IF(OR(Dispute[[#This Row],[Resolution_Date]]="",E382 = 0), "", E382-C382)</f>
        <v>7</v>
      </c>
      <c r="E382" s="1">
        <v>45674</v>
      </c>
      <c r="F382" t="s">
        <v>10</v>
      </c>
      <c r="G382" t="s">
        <v>22</v>
      </c>
      <c r="H382" t="s">
        <v>12</v>
      </c>
      <c r="I382" s="2">
        <v>284.95001220703125</v>
      </c>
      <c r="J382" t="s">
        <v>9</v>
      </c>
      <c r="K382" t="str">
        <f>IF(Dispute[[#This Row],[Status]] = "In Progress", IF(Dispute[[#This Row],[Time_Line]]&gt;5, "Overdue", "Within SLA"), "Closed")</f>
        <v>Closed</v>
      </c>
    </row>
    <row r="383" spans="1:11" x14ac:dyDescent="0.25">
      <c r="A383" t="s">
        <v>403</v>
      </c>
      <c r="B383" s="1">
        <v>45702</v>
      </c>
      <c r="C383" s="1">
        <v>45705</v>
      </c>
      <c r="D383" s="4">
        <f>IF(OR(Dispute[[#This Row],[Resolution_Date]]="",E383 = 0), "", E383-C383)</f>
        <v>2</v>
      </c>
      <c r="E383" s="1">
        <v>45707</v>
      </c>
      <c r="F383" t="s">
        <v>25</v>
      </c>
      <c r="G383" t="s">
        <v>22</v>
      </c>
      <c r="H383" t="s">
        <v>12</v>
      </c>
      <c r="I383" s="2">
        <v>528.33001708984375</v>
      </c>
      <c r="J383" t="s">
        <v>14</v>
      </c>
      <c r="K383" t="str">
        <f>IF(Dispute[[#This Row],[Status]] = "In Progress", IF(Dispute[[#This Row],[Time_Line]]&gt;5, "Overdue", "Within SLA"), "Closed")</f>
        <v>Closed</v>
      </c>
    </row>
    <row r="384" spans="1:11" x14ac:dyDescent="0.25">
      <c r="A384" t="s">
        <v>404</v>
      </c>
      <c r="B384" s="1">
        <v>45673</v>
      </c>
      <c r="C384" s="1">
        <v>45681</v>
      </c>
      <c r="D384" s="4">
        <f>IF(OR(Dispute[[#This Row],[Resolution_Date]]="",E384 = 0), "", E384-C384)</f>
        <v>5</v>
      </c>
      <c r="E384" s="1">
        <v>45686</v>
      </c>
      <c r="F384" t="s">
        <v>15</v>
      </c>
      <c r="G384" t="s">
        <v>18</v>
      </c>
      <c r="H384" t="s">
        <v>19</v>
      </c>
      <c r="I384" s="2">
        <v>587.08001708984375</v>
      </c>
      <c r="J384" t="s">
        <v>9</v>
      </c>
      <c r="K384" t="str">
        <f>IF(Dispute[[#This Row],[Status]] = "In Progress", IF(Dispute[[#This Row],[Time_Line]]&gt;5, "Overdue", "Within SLA"), "Closed")</f>
        <v>Closed</v>
      </c>
    </row>
    <row r="385" spans="1:11" x14ac:dyDescent="0.25">
      <c r="A385" t="s">
        <v>405</v>
      </c>
      <c r="B385" s="1">
        <v>45673</v>
      </c>
      <c r="C385" s="1">
        <v>45683</v>
      </c>
      <c r="D385" s="4">
        <f>IF(OR(Dispute[[#This Row],[Resolution_Date]]="",E385 = 0), "", E385-C385)</f>
        <v>2</v>
      </c>
      <c r="E385" s="1">
        <v>45685</v>
      </c>
      <c r="F385" t="s">
        <v>15</v>
      </c>
      <c r="G385" t="s">
        <v>16</v>
      </c>
      <c r="H385" t="s">
        <v>30</v>
      </c>
      <c r="I385" s="2">
        <v>43.900001525878906</v>
      </c>
      <c r="J385" t="s">
        <v>14</v>
      </c>
      <c r="K385" t="str">
        <f>IF(Dispute[[#This Row],[Status]] = "In Progress", IF(Dispute[[#This Row],[Time_Line]]&gt;5, "Overdue", "Within SLA"), "Closed")</f>
        <v>Closed</v>
      </c>
    </row>
    <row r="386" spans="1:11" x14ac:dyDescent="0.25">
      <c r="A386" t="s">
        <v>406</v>
      </c>
      <c r="B386" s="1">
        <v>45658</v>
      </c>
      <c r="C386" s="1">
        <v>45664</v>
      </c>
      <c r="D386" s="4">
        <f>IF(OR(Dispute[[#This Row],[Resolution_Date]]="",E386 = 0), "", E386-C386)</f>
        <v>1</v>
      </c>
      <c r="E386" s="1">
        <v>45665</v>
      </c>
      <c r="F386" t="s">
        <v>25</v>
      </c>
      <c r="G386" t="s">
        <v>16</v>
      </c>
      <c r="H386" t="s">
        <v>12</v>
      </c>
      <c r="I386" s="2">
        <v>785.20001220703125</v>
      </c>
      <c r="J386" t="s">
        <v>14</v>
      </c>
      <c r="K386" t="str">
        <f>IF(Dispute[[#This Row],[Status]] = "In Progress", IF(Dispute[[#This Row],[Time_Line]]&gt;5, "Overdue", "Within SLA"), "Closed")</f>
        <v>Closed</v>
      </c>
    </row>
    <row r="387" spans="1:11" x14ac:dyDescent="0.25">
      <c r="A387" t="s">
        <v>407</v>
      </c>
      <c r="B387" s="1">
        <v>45665</v>
      </c>
      <c r="C387" s="1">
        <v>45670</v>
      </c>
      <c r="D387" s="4" t="str">
        <f>IF(OR(Dispute[[#This Row],[Resolution_Date]]="",E387 = 0), "", E387-C387)</f>
        <v/>
      </c>
      <c r="F387" t="s">
        <v>10</v>
      </c>
      <c r="G387" t="s">
        <v>22</v>
      </c>
      <c r="H387" t="s">
        <v>19</v>
      </c>
      <c r="I387" s="2">
        <v>591.6099853515625</v>
      </c>
      <c r="J387" t="s">
        <v>46</v>
      </c>
      <c r="K387" t="str">
        <f>IF(Dispute[[#This Row],[Status]] = "In Progress", IF(Dispute[[#This Row],[Time_Line]]&gt;5, "Overdue", "Within SLA"), "Closed")</f>
        <v>Overdue</v>
      </c>
    </row>
    <row r="388" spans="1:11" x14ac:dyDescent="0.25">
      <c r="A388" t="s">
        <v>408</v>
      </c>
      <c r="B388" s="1">
        <v>45708</v>
      </c>
      <c r="C388" s="1">
        <v>45712</v>
      </c>
      <c r="D388" s="4">
        <f>IF(OR(Dispute[[#This Row],[Resolution_Date]]="",E388 = 0), "", E388-C388)</f>
        <v>7</v>
      </c>
      <c r="E388" s="1">
        <v>45719</v>
      </c>
      <c r="F388" t="s">
        <v>25</v>
      </c>
      <c r="G388" t="s">
        <v>11</v>
      </c>
      <c r="H388" t="s">
        <v>19</v>
      </c>
      <c r="I388" s="2">
        <v>1075.4200439453125</v>
      </c>
      <c r="J388" t="s">
        <v>14</v>
      </c>
      <c r="K388" t="str">
        <f>IF(Dispute[[#This Row],[Status]] = "In Progress", IF(Dispute[[#This Row],[Time_Line]]&gt;5, "Overdue", "Within SLA"), "Closed")</f>
        <v>Closed</v>
      </c>
    </row>
    <row r="389" spans="1:11" x14ac:dyDescent="0.25">
      <c r="A389" t="s">
        <v>409</v>
      </c>
      <c r="B389" s="1">
        <v>45662</v>
      </c>
      <c r="C389" s="1">
        <v>45669</v>
      </c>
      <c r="D389" s="4">
        <f>IF(OR(Dispute[[#This Row],[Resolution_Date]]="",E389 = 0), "", E389-C389)</f>
        <v>1</v>
      </c>
      <c r="E389" s="1">
        <v>45670</v>
      </c>
      <c r="F389" t="s">
        <v>15</v>
      </c>
      <c r="G389" t="s">
        <v>11</v>
      </c>
      <c r="H389" t="s">
        <v>12</v>
      </c>
      <c r="I389" s="2">
        <v>774.3800048828125</v>
      </c>
      <c r="J389" t="s">
        <v>14</v>
      </c>
      <c r="K389" t="str">
        <f>IF(Dispute[[#This Row],[Status]] = "In Progress", IF(Dispute[[#This Row],[Time_Line]]&gt;5, "Overdue", "Within SLA"), "Closed")</f>
        <v>Closed</v>
      </c>
    </row>
    <row r="390" spans="1:11" x14ac:dyDescent="0.25">
      <c r="A390" t="s">
        <v>410</v>
      </c>
      <c r="B390" s="1">
        <v>45713</v>
      </c>
      <c r="C390" s="1">
        <v>45715</v>
      </c>
      <c r="D390" s="4" t="str">
        <f>IF(OR(Dispute[[#This Row],[Resolution_Date]]="",E390 = 0), "", E390-C390)</f>
        <v/>
      </c>
      <c r="F390" t="s">
        <v>15</v>
      </c>
      <c r="G390" t="s">
        <v>22</v>
      </c>
      <c r="H390" t="s">
        <v>12</v>
      </c>
      <c r="I390" s="2">
        <v>897.54998779296875</v>
      </c>
      <c r="J390" t="s">
        <v>46</v>
      </c>
      <c r="K390" t="str">
        <f>IF(Dispute[[#This Row],[Status]] = "In Progress", IF(Dispute[[#This Row],[Time_Line]]&gt;5, "Overdue", "Within SLA"), "Closed")</f>
        <v>Overdue</v>
      </c>
    </row>
    <row r="391" spans="1:11" x14ac:dyDescent="0.25">
      <c r="A391" t="s">
        <v>411</v>
      </c>
      <c r="B391" s="1">
        <v>45702</v>
      </c>
      <c r="C391" s="1">
        <v>45711</v>
      </c>
      <c r="D391" s="4">
        <f>IF(OR(Dispute[[#This Row],[Resolution_Date]]="",E391 = 0), "", E391-C391)</f>
        <v>1</v>
      </c>
      <c r="E391" s="1">
        <v>45712</v>
      </c>
      <c r="F391" t="s">
        <v>10</v>
      </c>
      <c r="G391" t="s">
        <v>18</v>
      </c>
      <c r="H391" t="s">
        <v>12</v>
      </c>
      <c r="I391" s="2">
        <v>967.75</v>
      </c>
      <c r="J391" t="s">
        <v>14</v>
      </c>
      <c r="K391" t="str">
        <f>IF(Dispute[[#This Row],[Status]] = "In Progress", IF(Dispute[[#This Row],[Time_Line]]&gt;5, "Overdue", "Within SLA"), "Closed")</f>
        <v>Closed</v>
      </c>
    </row>
    <row r="392" spans="1:11" x14ac:dyDescent="0.25">
      <c r="A392" t="s">
        <v>412</v>
      </c>
      <c r="B392" s="1">
        <v>45712</v>
      </c>
      <c r="C392" s="1">
        <v>45721</v>
      </c>
      <c r="D392" s="4">
        <f>IF(OR(Dispute[[#This Row],[Resolution_Date]]="",E392 = 0), "", E392-C392)</f>
        <v>5</v>
      </c>
      <c r="E392" s="1">
        <v>45726</v>
      </c>
      <c r="F392" t="s">
        <v>10</v>
      </c>
      <c r="G392" t="s">
        <v>18</v>
      </c>
      <c r="H392" t="s">
        <v>19</v>
      </c>
      <c r="I392" s="2">
        <v>871.42999267578125</v>
      </c>
      <c r="J392" t="s">
        <v>14</v>
      </c>
      <c r="K392" t="str">
        <f>IF(Dispute[[#This Row],[Status]] = "In Progress", IF(Dispute[[#This Row],[Time_Line]]&gt;5, "Overdue", "Within SLA"), "Closed")</f>
        <v>Closed</v>
      </c>
    </row>
    <row r="393" spans="1:11" x14ac:dyDescent="0.25">
      <c r="A393" t="s">
        <v>413</v>
      </c>
      <c r="B393" s="1">
        <v>45689</v>
      </c>
      <c r="C393" s="1">
        <v>45695</v>
      </c>
      <c r="D393" s="4">
        <f>IF(OR(Dispute[[#This Row],[Resolution_Date]]="",E393 = 0), "", E393-C393)</f>
        <v>3</v>
      </c>
      <c r="E393" s="1">
        <v>45698</v>
      </c>
      <c r="F393" t="s">
        <v>15</v>
      </c>
      <c r="G393" t="s">
        <v>22</v>
      </c>
      <c r="H393" t="s">
        <v>12</v>
      </c>
      <c r="I393" s="2">
        <v>402.010009765625</v>
      </c>
      <c r="J393" t="s">
        <v>14</v>
      </c>
      <c r="K393" t="str">
        <f>IF(Dispute[[#This Row],[Status]] = "In Progress", IF(Dispute[[#This Row],[Time_Line]]&gt;5, "Overdue", "Within SLA"), "Closed")</f>
        <v>Closed</v>
      </c>
    </row>
    <row r="394" spans="1:11" x14ac:dyDescent="0.25">
      <c r="A394" t="s">
        <v>414</v>
      </c>
      <c r="B394" s="1">
        <v>45710</v>
      </c>
      <c r="C394" s="1">
        <v>45719</v>
      </c>
      <c r="D394" s="4">
        <f>IF(OR(Dispute[[#This Row],[Resolution_Date]]="",E394 = 0), "", E394-C394)</f>
        <v>5</v>
      </c>
      <c r="E394" s="1">
        <v>45724</v>
      </c>
      <c r="F394" t="s">
        <v>25</v>
      </c>
      <c r="G394" t="s">
        <v>22</v>
      </c>
      <c r="H394" t="s">
        <v>30</v>
      </c>
      <c r="I394" s="2">
        <v>754.59002685546875</v>
      </c>
      <c r="J394" t="s">
        <v>14</v>
      </c>
      <c r="K394" t="str">
        <f>IF(Dispute[[#This Row],[Status]] = "In Progress", IF(Dispute[[#This Row],[Time_Line]]&gt;5, "Overdue", "Within SLA"), "Closed")</f>
        <v>Closed</v>
      </c>
    </row>
    <row r="395" spans="1:11" x14ac:dyDescent="0.25">
      <c r="A395" t="s">
        <v>415</v>
      </c>
      <c r="B395" s="1">
        <v>45668</v>
      </c>
      <c r="C395" s="1">
        <v>45675</v>
      </c>
      <c r="D395" s="4">
        <f>IF(OR(Dispute[[#This Row],[Resolution_Date]]="",E395 = 0), "", E395-C395)</f>
        <v>5</v>
      </c>
      <c r="E395" s="1">
        <v>45680</v>
      </c>
      <c r="F395" t="s">
        <v>10</v>
      </c>
      <c r="G395" t="s">
        <v>11</v>
      </c>
      <c r="H395" t="s">
        <v>23</v>
      </c>
      <c r="I395" s="2">
        <v>713.46002197265625</v>
      </c>
      <c r="J395" t="s">
        <v>9</v>
      </c>
      <c r="K395" t="str">
        <f>IF(Dispute[[#This Row],[Status]] = "In Progress", IF(Dispute[[#This Row],[Time_Line]]&gt;5, "Overdue", "Within SLA"), "Closed")</f>
        <v>Closed</v>
      </c>
    </row>
    <row r="396" spans="1:11" x14ac:dyDescent="0.25">
      <c r="A396" t="s">
        <v>416</v>
      </c>
      <c r="B396" s="1">
        <v>45686</v>
      </c>
      <c r="C396" s="1">
        <v>45693</v>
      </c>
      <c r="D396" s="4">
        <f>IF(OR(Dispute[[#This Row],[Resolution_Date]]="",E396 = 0), "", E396-C396)</f>
        <v>3</v>
      </c>
      <c r="E396" s="1">
        <v>45696</v>
      </c>
      <c r="F396" t="s">
        <v>15</v>
      </c>
      <c r="G396" t="s">
        <v>22</v>
      </c>
      <c r="H396" t="s">
        <v>12</v>
      </c>
      <c r="I396" s="2">
        <v>692.27001953125</v>
      </c>
      <c r="J396" t="s">
        <v>14</v>
      </c>
      <c r="K396" t="str">
        <f>IF(Dispute[[#This Row],[Status]] = "In Progress", IF(Dispute[[#This Row],[Time_Line]]&gt;5, "Overdue", "Within SLA"), "Closed")</f>
        <v>Closed</v>
      </c>
    </row>
    <row r="397" spans="1:11" x14ac:dyDescent="0.25">
      <c r="A397" t="s">
        <v>417</v>
      </c>
      <c r="B397" s="1">
        <v>45714</v>
      </c>
      <c r="C397" s="1">
        <v>45721</v>
      </c>
      <c r="D397" s="4">
        <f>IF(OR(Dispute[[#This Row],[Resolution_Date]]="",E397 = 0), "", E397-C397)</f>
        <v>7</v>
      </c>
      <c r="E397" s="1">
        <v>45728</v>
      </c>
      <c r="F397" t="s">
        <v>10</v>
      </c>
      <c r="G397" t="s">
        <v>18</v>
      </c>
      <c r="H397" t="s">
        <v>19</v>
      </c>
      <c r="I397" s="2">
        <v>636.97998046875</v>
      </c>
      <c r="J397" t="s">
        <v>9</v>
      </c>
      <c r="K397" t="str">
        <f>IF(Dispute[[#This Row],[Status]] = "In Progress", IF(Dispute[[#This Row],[Time_Line]]&gt;5, "Overdue", "Within SLA"), "Closed")</f>
        <v>Closed</v>
      </c>
    </row>
    <row r="398" spans="1:11" x14ac:dyDescent="0.25">
      <c r="A398" t="s">
        <v>418</v>
      </c>
      <c r="B398" s="1">
        <v>45680</v>
      </c>
      <c r="C398" s="1">
        <v>45684</v>
      </c>
      <c r="D398" s="4">
        <f>IF(OR(Dispute[[#This Row],[Resolution_Date]]="",E398 = 0), "", E398-C398)</f>
        <v>2</v>
      </c>
      <c r="E398" s="1">
        <v>45686</v>
      </c>
      <c r="F398" t="s">
        <v>15</v>
      </c>
      <c r="G398" t="s">
        <v>18</v>
      </c>
      <c r="H398" t="s">
        <v>23</v>
      </c>
      <c r="I398" s="2">
        <v>152.44999694824219</v>
      </c>
      <c r="J398" t="s">
        <v>9</v>
      </c>
      <c r="K398" t="str">
        <f>IF(Dispute[[#This Row],[Status]] = "In Progress", IF(Dispute[[#This Row],[Time_Line]]&gt;5, "Overdue", "Within SLA"), "Closed")</f>
        <v>Closed</v>
      </c>
    </row>
    <row r="399" spans="1:11" x14ac:dyDescent="0.25">
      <c r="A399" t="s">
        <v>419</v>
      </c>
      <c r="B399" s="1">
        <v>45702</v>
      </c>
      <c r="C399" s="1">
        <v>45703</v>
      </c>
      <c r="D399" s="4">
        <f>IF(OR(Dispute[[#This Row],[Resolution_Date]]="",E399 = 0), "", E399-C399)</f>
        <v>1</v>
      </c>
      <c r="E399" s="1">
        <v>45704</v>
      </c>
      <c r="F399" t="s">
        <v>10</v>
      </c>
      <c r="G399" t="s">
        <v>11</v>
      </c>
      <c r="H399" t="s">
        <v>19</v>
      </c>
      <c r="I399" s="2">
        <v>697.82000732421875</v>
      </c>
      <c r="J399" t="s">
        <v>9</v>
      </c>
      <c r="K399" t="str">
        <f>IF(Dispute[[#This Row],[Status]] = "In Progress", IF(Dispute[[#This Row],[Time_Line]]&gt;5, "Overdue", "Within SLA"), "Closed")</f>
        <v>Closed</v>
      </c>
    </row>
    <row r="400" spans="1:11" x14ac:dyDescent="0.25">
      <c r="A400" t="s">
        <v>420</v>
      </c>
      <c r="B400" s="1">
        <v>45696</v>
      </c>
      <c r="C400" s="1">
        <v>45706</v>
      </c>
      <c r="D400" s="4">
        <f>IF(OR(Dispute[[#This Row],[Resolution_Date]]="",E400 = 0), "", E400-C400)</f>
        <v>6</v>
      </c>
      <c r="E400" s="1">
        <v>45712</v>
      </c>
      <c r="F400" t="s">
        <v>25</v>
      </c>
      <c r="G400" t="s">
        <v>11</v>
      </c>
      <c r="H400" t="s">
        <v>12</v>
      </c>
      <c r="I400" s="2">
        <v>31.110000610351563</v>
      </c>
      <c r="J400" t="s">
        <v>14</v>
      </c>
      <c r="K400" t="str">
        <f>IF(Dispute[[#This Row],[Status]] = "In Progress", IF(Dispute[[#This Row],[Time_Line]]&gt;5, "Overdue", "Within SLA"), "Closed")</f>
        <v>Closed</v>
      </c>
    </row>
    <row r="401" spans="1:11" x14ac:dyDescent="0.25">
      <c r="A401" t="s">
        <v>421</v>
      </c>
      <c r="B401" s="1">
        <v>45691</v>
      </c>
      <c r="C401" s="1">
        <v>45693</v>
      </c>
      <c r="D401" s="4">
        <f>IF(OR(Dispute[[#This Row],[Resolution_Date]]="",E401 = 0), "", E401-C401)</f>
        <v>3</v>
      </c>
      <c r="E401" s="1">
        <v>45696</v>
      </c>
      <c r="F401" t="s">
        <v>25</v>
      </c>
      <c r="G401" t="s">
        <v>18</v>
      </c>
      <c r="H401" t="s">
        <v>19</v>
      </c>
      <c r="I401" s="2">
        <v>514.58001708984375</v>
      </c>
      <c r="J401" t="s">
        <v>14</v>
      </c>
      <c r="K401" t="str">
        <f>IF(Dispute[[#This Row],[Status]] = "In Progress", IF(Dispute[[#This Row],[Time_Line]]&gt;5, "Overdue", "Within SLA"), "Closed")</f>
        <v>Closed</v>
      </c>
    </row>
    <row r="402" spans="1:11" x14ac:dyDescent="0.25">
      <c r="A402" t="s">
        <v>422</v>
      </c>
      <c r="B402" s="1">
        <v>45711</v>
      </c>
      <c r="C402" s="1">
        <v>45716</v>
      </c>
      <c r="D402" s="4">
        <f>IF(OR(Dispute[[#This Row],[Resolution_Date]]="",E402 = 0), "", E402-C402)</f>
        <v>4</v>
      </c>
      <c r="E402" s="1">
        <v>45720</v>
      </c>
      <c r="F402" t="s">
        <v>15</v>
      </c>
      <c r="G402" t="s">
        <v>22</v>
      </c>
      <c r="H402" t="s">
        <v>12</v>
      </c>
      <c r="I402" s="2">
        <v>487.19000244140625</v>
      </c>
      <c r="J402" t="s">
        <v>14</v>
      </c>
      <c r="K402" t="str">
        <f>IF(Dispute[[#This Row],[Status]] = "In Progress", IF(Dispute[[#This Row],[Time_Line]]&gt;5, "Overdue", "Within SLA"), "Closed")</f>
        <v>Closed</v>
      </c>
    </row>
    <row r="403" spans="1:11" x14ac:dyDescent="0.25">
      <c r="A403" t="s">
        <v>423</v>
      </c>
      <c r="B403" s="1">
        <v>45672</v>
      </c>
      <c r="C403" s="1">
        <v>45680</v>
      </c>
      <c r="D403" s="4">
        <f>IF(OR(Dispute[[#This Row],[Resolution_Date]]="",E403 = 0), "", E403-C403)</f>
        <v>7</v>
      </c>
      <c r="E403" s="1">
        <v>45687</v>
      </c>
      <c r="F403" t="s">
        <v>25</v>
      </c>
      <c r="G403" t="s">
        <v>16</v>
      </c>
      <c r="H403" t="s">
        <v>12</v>
      </c>
      <c r="I403" s="2">
        <v>663.08001708984375</v>
      </c>
      <c r="J403" t="s">
        <v>14</v>
      </c>
      <c r="K403" t="str">
        <f>IF(Dispute[[#This Row],[Status]] = "In Progress", IF(Dispute[[#This Row],[Time_Line]]&gt;5, "Overdue", "Within SLA"), "Closed")</f>
        <v>Closed</v>
      </c>
    </row>
    <row r="404" spans="1:11" x14ac:dyDescent="0.25">
      <c r="A404" t="s">
        <v>424</v>
      </c>
      <c r="B404" s="1">
        <v>45666</v>
      </c>
      <c r="C404" s="1">
        <v>45671</v>
      </c>
      <c r="D404" s="4">
        <f>IF(OR(Dispute[[#This Row],[Resolution_Date]]="",E404 = 0), "", E404-C404)</f>
        <v>6</v>
      </c>
      <c r="E404" s="1">
        <v>45677</v>
      </c>
      <c r="F404" t="s">
        <v>25</v>
      </c>
      <c r="G404" t="s">
        <v>11</v>
      </c>
      <c r="H404" t="s">
        <v>30</v>
      </c>
      <c r="I404" s="2">
        <v>244.75</v>
      </c>
      <c r="J404" t="s">
        <v>14</v>
      </c>
      <c r="K404" t="str">
        <f>IF(Dispute[[#This Row],[Status]] = "In Progress", IF(Dispute[[#This Row],[Time_Line]]&gt;5, "Overdue", "Within SLA"), "Closed")</f>
        <v>Closed</v>
      </c>
    </row>
    <row r="405" spans="1:11" x14ac:dyDescent="0.25">
      <c r="A405" t="s">
        <v>425</v>
      </c>
      <c r="B405" s="1">
        <v>45706</v>
      </c>
      <c r="C405" s="1">
        <v>45710</v>
      </c>
      <c r="D405" s="4" t="str">
        <f>IF(OR(Dispute[[#This Row],[Resolution_Date]]="",E405 = 0), "", E405-C405)</f>
        <v/>
      </c>
      <c r="F405" t="s">
        <v>10</v>
      </c>
      <c r="G405" t="s">
        <v>16</v>
      </c>
      <c r="H405" t="s">
        <v>12</v>
      </c>
      <c r="I405" s="2">
        <v>305.72000122070313</v>
      </c>
      <c r="J405" t="s">
        <v>46</v>
      </c>
      <c r="K405" t="str">
        <f>IF(Dispute[[#This Row],[Status]] = "In Progress", IF(Dispute[[#This Row],[Time_Line]]&gt;5, "Overdue", "Within SLA"), "Closed")</f>
        <v>Overdue</v>
      </c>
    </row>
    <row r="406" spans="1:11" x14ac:dyDescent="0.25">
      <c r="A406" t="s">
        <v>426</v>
      </c>
      <c r="B406" s="1">
        <v>45675</v>
      </c>
      <c r="C406" s="1">
        <v>45678</v>
      </c>
      <c r="D406" s="4">
        <f>IF(OR(Dispute[[#This Row],[Resolution_Date]]="",E406 = 0), "", E406-C406)</f>
        <v>6</v>
      </c>
      <c r="E406" s="1">
        <v>45684</v>
      </c>
      <c r="F406" t="s">
        <v>10</v>
      </c>
      <c r="G406" t="s">
        <v>16</v>
      </c>
      <c r="H406" t="s">
        <v>23</v>
      </c>
      <c r="I406" s="2">
        <v>1177.989990234375</v>
      </c>
      <c r="J406" t="s">
        <v>14</v>
      </c>
      <c r="K406" t="str">
        <f>IF(Dispute[[#This Row],[Status]] = "In Progress", IF(Dispute[[#This Row],[Time_Line]]&gt;5, "Overdue", "Within SLA"), "Closed")</f>
        <v>Closed</v>
      </c>
    </row>
    <row r="407" spans="1:11" x14ac:dyDescent="0.25">
      <c r="A407" t="s">
        <v>427</v>
      </c>
      <c r="B407" s="1">
        <v>45701</v>
      </c>
      <c r="C407" s="1">
        <v>45710</v>
      </c>
      <c r="D407" s="4">
        <f>IF(OR(Dispute[[#This Row],[Resolution_Date]]="",E407 = 0), "", E407-C407)</f>
        <v>3</v>
      </c>
      <c r="E407" s="1">
        <v>45713</v>
      </c>
      <c r="F407" t="s">
        <v>25</v>
      </c>
      <c r="G407" t="s">
        <v>11</v>
      </c>
      <c r="H407" t="s">
        <v>19</v>
      </c>
      <c r="I407" s="2">
        <v>428.42999267578125</v>
      </c>
      <c r="J407" t="s">
        <v>9</v>
      </c>
      <c r="K407" t="str">
        <f>IF(Dispute[[#This Row],[Status]] = "In Progress", IF(Dispute[[#This Row],[Time_Line]]&gt;5, "Overdue", "Within SLA"), "Closed")</f>
        <v>Closed</v>
      </c>
    </row>
    <row r="408" spans="1:11" x14ac:dyDescent="0.25">
      <c r="A408" t="s">
        <v>428</v>
      </c>
      <c r="B408" s="1">
        <v>45665</v>
      </c>
      <c r="C408" s="1">
        <v>45675</v>
      </c>
      <c r="D408" s="4">
        <f>IF(OR(Dispute[[#This Row],[Resolution_Date]]="",E408 = 0), "", E408-C408)</f>
        <v>7</v>
      </c>
      <c r="E408" s="1">
        <v>45682</v>
      </c>
      <c r="F408" t="s">
        <v>15</v>
      </c>
      <c r="G408" t="s">
        <v>22</v>
      </c>
      <c r="H408" t="s">
        <v>30</v>
      </c>
      <c r="I408" s="2">
        <v>1030.0799560546875</v>
      </c>
      <c r="J408" t="s">
        <v>14</v>
      </c>
      <c r="K408" t="str">
        <f>IF(Dispute[[#This Row],[Status]] = "In Progress", IF(Dispute[[#This Row],[Time_Line]]&gt;5, "Overdue", "Within SLA"), "Closed")</f>
        <v>Closed</v>
      </c>
    </row>
    <row r="409" spans="1:11" x14ac:dyDescent="0.25">
      <c r="A409" t="s">
        <v>429</v>
      </c>
      <c r="B409" s="1">
        <v>45698</v>
      </c>
      <c r="C409" s="1">
        <v>45702</v>
      </c>
      <c r="D409" s="4">
        <f>IF(OR(Dispute[[#This Row],[Resolution_Date]]="",E409 = 0), "", E409-C409)</f>
        <v>6</v>
      </c>
      <c r="E409" s="1">
        <v>45708</v>
      </c>
      <c r="F409" t="s">
        <v>25</v>
      </c>
      <c r="G409" t="s">
        <v>22</v>
      </c>
      <c r="H409" t="s">
        <v>19</v>
      </c>
      <c r="I409" s="2">
        <v>596.59002685546875</v>
      </c>
      <c r="J409" t="s">
        <v>14</v>
      </c>
      <c r="K409" t="str">
        <f>IF(Dispute[[#This Row],[Status]] = "In Progress", IF(Dispute[[#This Row],[Time_Line]]&gt;5, "Overdue", "Within SLA"), "Closed")</f>
        <v>Closed</v>
      </c>
    </row>
    <row r="410" spans="1:11" x14ac:dyDescent="0.25">
      <c r="A410" t="s">
        <v>430</v>
      </c>
      <c r="B410" s="1">
        <v>45696</v>
      </c>
      <c r="C410" s="1">
        <v>45699</v>
      </c>
      <c r="D410" s="4">
        <f>IF(OR(Dispute[[#This Row],[Resolution_Date]]="",E410 = 0), "", E410-C410)</f>
        <v>4</v>
      </c>
      <c r="E410" s="1">
        <v>45703</v>
      </c>
      <c r="F410" t="s">
        <v>25</v>
      </c>
      <c r="G410" t="s">
        <v>11</v>
      </c>
      <c r="H410" t="s">
        <v>23</v>
      </c>
      <c r="I410" s="2">
        <v>32.939998626708984</v>
      </c>
      <c r="J410" t="s">
        <v>9</v>
      </c>
      <c r="K410" t="str">
        <f>IF(Dispute[[#This Row],[Status]] = "In Progress", IF(Dispute[[#This Row],[Time_Line]]&gt;5, "Overdue", "Within SLA"), "Closed")</f>
        <v>Closed</v>
      </c>
    </row>
    <row r="411" spans="1:11" x14ac:dyDescent="0.25">
      <c r="A411" t="s">
        <v>431</v>
      </c>
      <c r="B411" s="1">
        <v>45688</v>
      </c>
      <c r="C411" s="1">
        <v>45698</v>
      </c>
      <c r="D411" s="4">
        <f>IF(OR(Dispute[[#This Row],[Resolution_Date]]="",E411 = 0), "", E411-C411)</f>
        <v>3</v>
      </c>
      <c r="E411" s="1">
        <v>45701</v>
      </c>
      <c r="F411" t="s">
        <v>10</v>
      </c>
      <c r="G411" t="s">
        <v>22</v>
      </c>
      <c r="H411" t="s">
        <v>12</v>
      </c>
      <c r="I411" s="2">
        <v>666.3900146484375</v>
      </c>
      <c r="J411" t="s">
        <v>9</v>
      </c>
      <c r="K411" t="str">
        <f>IF(Dispute[[#This Row],[Status]] = "In Progress", IF(Dispute[[#This Row],[Time_Line]]&gt;5, "Overdue", "Within SLA"), "Closed")</f>
        <v>Closed</v>
      </c>
    </row>
    <row r="412" spans="1:11" x14ac:dyDescent="0.25">
      <c r="A412" t="s">
        <v>432</v>
      </c>
      <c r="B412" s="1">
        <v>45694</v>
      </c>
      <c r="C412" s="1">
        <v>45700</v>
      </c>
      <c r="D412" s="4">
        <f>IF(OR(Dispute[[#This Row],[Resolution_Date]]="",E412 = 0), "", E412-C412)</f>
        <v>7</v>
      </c>
      <c r="E412" s="1">
        <v>45707</v>
      </c>
      <c r="F412" t="s">
        <v>10</v>
      </c>
      <c r="G412" t="s">
        <v>18</v>
      </c>
      <c r="H412" t="s">
        <v>19</v>
      </c>
      <c r="I412" s="2">
        <v>210.83999633789063</v>
      </c>
      <c r="J412" t="s">
        <v>14</v>
      </c>
      <c r="K412" t="str">
        <f>IF(Dispute[[#This Row],[Status]] = "In Progress", IF(Dispute[[#This Row],[Time_Line]]&gt;5, "Overdue", "Within SLA"), "Closed")</f>
        <v>Closed</v>
      </c>
    </row>
    <row r="413" spans="1:11" x14ac:dyDescent="0.25">
      <c r="A413" t="s">
        <v>433</v>
      </c>
      <c r="B413" s="1">
        <v>45670</v>
      </c>
      <c r="C413" s="1">
        <v>45676</v>
      </c>
      <c r="D413" s="4">
        <f>IF(OR(Dispute[[#This Row],[Resolution_Date]]="",E413 = 0), "", E413-C413)</f>
        <v>6</v>
      </c>
      <c r="E413" s="1">
        <v>45682</v>
      </c>
      <c r="F413" t="s">
        <v>10</v>
      </c>
      <c r="G413" t="s">
        <v>16</v>
      </c>
      <c r="H413" t="s">
        <v>19</v>
      </c>
      <c r="I413" s="2">
        <v>783.25</v>
      </c>
      <c r="J413" t="s">
        <v>9</v>
      </c>
      <c r="K413" t="str">
        <f>IF(Dispute[[#This Row],[Status]] = "In Progress", IF(Dispute[[#This Row],[Time_Line]]&gt;5, "Overdue", "Within SLA"), "Closed")</f>
        <v>Closed</v>
      </c>
    </row>
    <row r="414" spans="1:11" x14ac:dyDescent="0.25">
      <c r="A414" t="s">
        <v>434</v>
      </c>
      <c r="B414" s="1">
        <v>45711</v>
      </c>
      <c r="C414" s="1">
        <v>45718</v>
      </c>
      <c r="D414" s="4" t="str">
        <f>IF(OR(Dispute[[#This Row],[Resolution_Date]]="",E414 = 0), "", E414-C414)</f>
        <v/>
      </c>
      <c r="F414" t="s">
        <v>15</v>
      </c>
      <c r="G414" t="s">
        <v>16</v>
      </c>
      <c r="H414" t="s">
        <v>30</v>
      </c>
      <c r="I414" s="2">
        <v>466.07000732421875</v>
      </c>
      <c r="J414" t="s">
        <v>46</v>
      </c>
      <c r="K414" t="str">
        <f>IF(Dispute[[#This Row],[Status]] = "In Progress", IF(Dispute[[#This Row],[Time_Line]]&gt;5, "Overdue", "Within SLA"), "Closed")</f>
        <v>Overdue</v>
      </c>
    </row>
    <row r="415" spans="1:11" x14ac:dyDescent="0.25">
      <c r="A415" t="s">
        <v>435</v>
      </c>
      <c r="B415" s="1">
        <v>45695</v>
      </c>
      <c r="C415" s="1">
        <v>45697</v>
      </c>
      <c r="D415" s="4">
        <f>IF(OR(Dispute[[#This Row],[Resolution_Date]]="",E415 = 0), "", E415-C415)</f>
        <v>5</v>
      </c>
      <c r="E415" s="1">
        <v>45702</v>
      </c>
      <c r="F415" t="s">
        <v>25</v>
      </c>
      <c r="G415" t="s">
        <v>16</v>
      </c>
      <c r="H415" t="s">
        <v>30</v>
      </c>
      <c r="I415" s="2">
        <v>1025.5699462890625</v>
      </c>
      <c r="J415" t="s">
        <v>14</v>
      </c>
      <c r="K415" t="str">
        <f>IF(Dispute[[#This Row],[Status]] = "In Progress", IF(Dispute[[#This Row],[Time_Line]]&gt;5, "Overdue", "Within SLA"), "Closed")</f>
        <v>Closed</v>
      </c>
    </row>
    <row r="416" spans="1:11" x14ac:dyDescent="0.25">
      <c r="A416" t="s">
        <v>436</v>
      </c>
      <c r="B416" s="1">
        <v>45703</v>
      </c>
      <c r="C416" s="1">
        <v>45709</v>
      </c>
      <c r="D416" s="4">
        <f>IF(OR(Dispute[[#This Row],[Resolution_Date]]="",E416 = 0), "", E416-C416)</f>
        <v>3</v>
      </c>
      <c r="E416" s="1">
        <v>45712</v>
      </c>
      <c r="F416" t="s">
        <v>15</v>
      </c>
      <c r="G416" t="s">
        <v>22</v>
      </c>
      <c r="H416" t="s">
        <v>19</v>
      </c>
      <c r="I416" s="2">
        <v>965.1400146484375</v>
      </c>
      <c r="J416" t="s">
        <v>9</v>
      </c>
      <c r="K416" t="str">
        <f>IF(Dispute[[#This Row],[Status]] = "In Progress", IF(Dispute[[#This Row],[Time_Line]]&gt;5, "Overdue", "Within SLA"), "Closed")</f>
        <v>Closed</v>
      </c>
    </row>
    <row r="417" spans="1:11" x14ac:dyDescent="0.25">
      <c r="A417" t="s">
        <v>437</v>
      </c>
      <c r="B417" s="1">
        <v>45681</v>
      </c>
      <c r="C417" s="1">
        <v>45690</v>
      </c>
      <c r="D417" s="4" t="str">
        <f>IF(OR(Dispute[[#This Row],[Resolution_Date]]="",E417 = 0), "", E417-C417)</f>
        <v/>
      </c>
      <c r="F417" t="s">
        <v>15</v>
      </c>
      <c r="G417" t="s">
        <v>22</v>
      </c>
      <c r="H417" t="s">
        <v>19</v>
      </c>
      <c r="I417" s="2">
        <v>669.41998291015625</v>
      </c>
      <c r="J417" t="s">
        <v>46</v>
      </c>
      <c r="K417" t="str">
        <f>IF(Dispute[[#This Row],[Status]] = "In Progress", IF(Dispute[[#This Row],[Time_Line]]&gt;5, "Overdue", "Within SLA"), "Closed")</f>
        <v>Overdue</v>
      </c>
    </row>
    <row r="418" spans="1:11" x14ac:dyDescent="0.25">
      <c r="A418" t="s">
        <v>438</v>
      </c>
      <c r="B418" s="1">
        <v>45684</v>
      </c>
      <c r="C418" s="1">
        <v>45686</v>
      </c>
      <c r="D418" s="4">
        <f>IF(OR(Dispute[[#This Row],[Resolution_Date]]="",E418 = 0), "", E418-C418)</f>
        <v>7</v>
      </c>
      <c r="E418" s="1">
        <v>45693</v>
      </c>
      <c r="F418" t="s">
        <v>15</v>
      </c>
      <c r="G418" t="s">
        <v>18</v>
      </c>
      <c r="H418" t="s">
        <v>30</v>
      </c>
      <c r="I418" s="2">
        <v>649.04998779296875</v>
      </c>
      <c r="J418" t="s">
        <v>9</v>
      </c>
      <c r="K418" t="str">
        <f>IF(Dispute[[#This Row],[Status]] = "In Progress", IF(Dispute[[#This Row],[Time_Line]]&gt;5, "Overdue", "Within SLA"), "Closed")</f>
        <v>Closed</v>
      </c>
    </row>
    <row r="419" spans="1:11" x14ac:dyDescent="0.25">
      <c r="A419" t="s">
        <v>439</v>
      </c>
      <c r="B419" s="1">
        <v>45709</v>
      </c>
      <c r="C419" s="1">
        <v>45715</v>
      </c>
      <c r="D419" s="4" t="str">
        <f>IF(OR(Dispute[[#This Row],[Resolution_Date]]="",E419 = 0), "", E419-C419)</f>
        <v/>
      </c>
      <c r="F419" t="s">
        <v>15</v>
      </c>
      <c r="G419" t="s">
        <v>18</v>
      </c>
      <c r="H419" t="s">
        <v>19</v>
      </c>
      <c r="I419" s="2">
        <v>469.5</v>
      </c>
      <c r="J419" t="s">
        <v>46</v>
      </c>
      <c r="K419" t="str">
        <f>IF(Dispute[[#This Row],[Status]] = "In Progress", IF(Dispute[[#This Row],[Time_Line]]&gt;5, "Overdue", "Within SLA"), "Closed")</f>
        <v>Overdue</v>
      </c>
    </row>
    <row r="420" spans="1:11" x14ac:dyDescent="0.25">
      <c r="A420" t="s">
        <v>440</v>
      </c>
      <c r="B420" s="1">
        <v>45660</v>
      </c>
      <c r="C420" s="1">
        <v>45661</v>
      </c>
      <c r="D420" s="4">
        <f>IF(OR(Dispute[[#This Row],[Resolution_Date]]="",E420 = 0), "", E420-C420)</f>
        <v>3</v>
      </c>
      <c r="E420" s="1">
        <v>45664</v>
      </c>
      <c r="F420" t="s">
        <v>15</v>
      </c>
      <c r="G420" t="s">
        <v>16</v>
      </c>
      <c r="H420" t="s">
        <v>30</v>
      </c>
      <c r="I420" s="2">
        <v>719.760009765625</v>
      </c>
      <c r="J420" t="s">
        <v>9</v>
      </c>
      <c r="K420" t="str">
        <f>IF(Dispute[[#This Row],[Status]] = "In Progress", IF(Dispute[[#This Row],[Time_Line]]&gt;5, "Overdue", "Within SLA"), "Closed")</f>
        <v>Closed</v>
      </c>
    </row>
    <row r="421" spans="1:11" x14ac:dyDescent="0.25">
      <c r="A421" t="s">
        <v>441</v>
      </c>
      <c r="B421" s="1">
        <v>45681</v>
      </c>
      <c r="C421" s="1">
        <v>45689</v>
      </c>
      <c r="D421" s="4">
        <f>IF(OR(Dispute[[#This Row],[Resolution_Date]]="",E421 = 0), "", E421-C421)</f>
        <v>2</v>
      </c>
      <c r="E421" s="1">
        <v>45691</v>
      </c>
      <c r="F421" t="s">
        <v>15</v>
      </c>
      <c r="G421" t="s">
        <v>11</v>
      </c>
      <c r="H421" t="s">
        <v>12</v>
      </c>
      <c r="I421" s="2">
        <v>179.85000610351563</v>
      </c>
      <c r="J421" t="s">
        <v>9</v>
      </c>
      <c r="K421" t="str">
        <f>IF(Dispute[[#This Row],[Status]] = "In Progress", IF(Dispute[[#This Row],[Time_Line]]&gt;5, "Overdue", "Within SLA"), "Closed")</f>
        <v>Closed</v>
      </c>
    </row>
    <row r="422" spans="1:11" x14ac:dyDescent="0.25">
      <c r="A422" t="s">
        <v>442</v>
      </c>
      <c r="B422" s="1">
        <v>45700</v>
      </c>
      <c r="C422" s="1">
        <v>45709</v>
      </c>
      <c r="D422" s="4">
        <f>IF(OR(Dispute[[#This Row],[Resolution_Date]]="",E422 = 0), "", E422-C422)</f>
        <v>4</v>
      </c>
      <c r="E422" s="1">
        <v>45713</v>
      </c>
      <c r="F422" t="s">
        <v>15</v>
      </c>
      <c r="G422" t="s">
        <v>18</v>
      </c>
      <c r="H422" t="s">
        <v>30</v>
      </c>
      <c r="I422" s="2">
        <v>999.010009765625</v>
      </c>
      <c r="J422" t="s">
        <v>9</v>
      </c>
      <c r="K422" t="str">
        <f>IF(Dispute[[#This Row],[Status]] = "In Progress", IF(Dispute[[#This Row],[Time_Line]]&gt;5, "Overdue", "Within SLA"), "Closed")</f>
        <v>Closed</v>
      </c>
    </row>
    <row r="423" spans="1:11" x14ac:dyDescent="0.25">
      <c r="A423" t="s">
        <v>443</v>
      </c>
      <c r="B423" s="1">
        <v>45701</v>
      </c>
      <c r="C423" s="1">
        <v>45709</v>
      </c>
      <c r="D423" s="4">
        <f>IF(OR(Dispute[[#This Row],[Resolution_Date]]="",E423 = 0), "", E423-C423)</f>
        <v>1</v>
      </c>
      <c r="E423" s="1">
        <v>45710</v>
      </c>
      <c r="F423" t="s">
        <v>10</v>
      </c>
      <c r="G423" t="s">
        <v>22</v>
      </c>
      <c r="H423" t="s">
        <v>12</v>
      </c>
      <c r="I423" s="2">
        <v>816.57000732421875</v>
      </c>
      <c r="J423" t="s">
        <v>9</v>
      </c>
      <c r="K423" t="str">
        <f>IF(Dispute[[#This Row],[Status]] = "In Progress", IF(Dispute[[#This Row],[Time_Line]]&gt;5, "Overdue", "Within SLA"), "Closed")</f>
        <v>Closed</v>
      </c>
    </row>
    <row r="424" spans="1:11" x14ac:dyDescent="0.25">
      <c r="A424" t="s">
        <v>444</v>
      </c>
      <c r="B424" s="1">
        <v>45662</v>
      </c>
      <c r="C424" s="1">
        <v>45667</v>
      </c>
      <c r="D424" s="4">
        <f>IF(OR(Dispute[[#This Row],[Resolution_Date]]="",E424 = 0), "", E424-C424)</f>
        <v>5</v>
      </c>
      <c r="E424" s="1">
        <v>45672</v>
      </c>
      <c r="F424" t="s">
        <v>25</v>
      </c>
      <c r="G424" t="s">
        <v>18</v>
      </c>
      <c r="H424" t="s">
        <v>19</v>
      </c>
      <c r="I424" s="2">
        <v>35.099998474121094</v>
      </c>
      <c r="J424" t="s">
        <v>14</v>
      </c>
      <c r="K424" t="str">
        <f>IF(Dispute[[#This Row],[Status]] = "In Progress", IF(Dispute[[#This Row],[Time_Line]]&gt;5, "Overdue", "Within SLA"), "Closed")</f>
        <v>Closed</v>
      </c>
    </row>
    <row r="425" spans="1:11" x14ac:dyDescent="0.25">
      <c r="A425" t="s">
        <v>445</v>
      </c>
      <c r="B425" s="1">
        <v>45674</v>
      </c>
      <c r="C425" s="1">
        <v>45683</v>
      </c>
      <c r="D425" s="4">
        <f>IF(OR(Dispute[[#This Row],[Resolution_Date]]="",E425 = 0), "", E425-C425)</f>
        <v>2</v>
      </c>
      <c r="E425" s="1">
        <v>45685</v>
      </c>
      <c r="F425" t="s">
        <v>15</v>
      </c>
      <c r="G425" t="s">
        <v>22</v>
      </c>
      <c r="H425" t="s">
        <v>19</v>
      </c>
      <c r="I425" s="2">
        <v>852.739990234375</v>
      </c>
      <c r="J425" t="s">
        <v>14</v>
      </c>
      <c r="K425" t="str">
        <f>IF(Dispute[[#This Row],[Status]] = "In Progress", IF(Dispute[[#This Row],[Time_Line]]&gt;5, "Overdue", "Within SLA"), "Closed")</f>
        <v>Closed</v>
      </c>
    </row>
    <row r="426" spans="1:11" x14ac:dyDescent="0.25">
      <c r="A426" t="s">
        <v>446</v>
      </c>
      <c r="B426" s="1">
        <v>45665</v>
      </c>
      <c r="C426" s="1">
        <v>45671</v>
      </c>
      <c r="D426" s="4">
        <f>IF(OR(Dispute[[#This Row],[Resolution_Date]]="",E426 = 0), "", E426-C426)</f>
        <v>2</v>
      </c>
      <c r="E426" s="1">
        <v>45673</v>
      </c>
      <c r="F426" t="s">
        <v>25</v>
      </c>
      <c r="G426" t="s">
        <v>11</v>
      </c>
      <c r="H426" t="s">
        <v>23</v>
      </c>
      <c r="I426" s="2">
        <v>17.239999771118164</v>
      </c>
      <c r="J426" t="s">
        <v>14</v>
      </c>
      <c r="K426" t="str">
        <f>IF(Dispute[[#This Row],[Status]] = "In Progress", IF(Dispute[[#This Row],[Time_Line]]&gt;5, "Overdue", "Within SLA"), "Closed")</f>
        <v>Closed</v>
      </c>
    </row>
    <row r="427" spans="1:11" x14ac:dyDescent="0.25">
      <c r="A427" t="s">
        <v>447</v>
      </c>
      <c r="B427" s="1">
        <v>45678</v>
      </c>
      <c r="C427" s="1">
        <v>45685</v>
      </c>
      <c r="D427" s="4">
        <f>IF(OR(Dispute[[#This Row],[Resolution_Date]]="",E427 = 0), "", E427-C427)</f>
        <v>5</v>
      </c>
      <c r="E427" s="1">
        <v>45690</v>
      </c>
      <c r="F427" t="s">
        <v>10</v>
      </c>
      <c r="G427" t="s">
        <v>22</v>
      </c>
      <c r="H427" t="s">
        <v>19</v>
      </c>
      <c r="I427" s="2">
        <v>792.0999755859375</v>
      </c>
      <c r="J427" t="s">
        <v>14</v>
      </c>
      <c r="K427" t="str">
        <f>IF(Dispute[[#This Row],[Status]] = "In Progress", IF(Dispute[[#This Row],[Time_Line]]&gt;5, "Overdue", "Within SLA"), "Closed")</f>
        <v>Closed</v>
      </c>
    </row>
    <row r="428" spans="1:11" x14ac:dyDescent="0.25">
      <c r="A428" t="s">
        <v>448</v>
      </c>
      <c r="B428" s="1">
        <v>45691</v>
      </c>
      <c r="C428" s="1">
        <v>45701</v>
      </c>
      <c r="D428" s="4">
        <f>IF(OR(Dispute[[#This Row],[Resolution_Date]]="",E428 = 0), "", E428-C428)</f>
        <v>5</v>
      </c>
      <c r="E428" s="1">
        <v>45706</v>
      </c>
      <c r="F428" t="s">
        <v>10</v>
      </c>
      <c r="G428" t="s">
        <v>18</v>
      </c>
      <c r="H428" t="s">
        <v>23</v>
      </c>
      <c r="I428" s="2">
        <v>429.45001220703125</v>
      </c>
      <c r="J428" t="s">
        <v>9</v>
      </c>
      <c r="K428" t="str">
        <f>IF(Dispute[[#This Row],[Status]] = "In Progress", IF(Dispute[[#This Row],[Time_Line]]&gt;5, "Overdue", "Within SLA"), "Closed")</f>
        <v>Closed</v>
      </c>
    </row>
    <row r="429" spans="1:11" x14ac:dyDescent="0.25">
      <c r="A429" t="s">
        <v>449</v>
      </c>
      <c r="B429" s="1">
        <v>45689</v>
      </c>
      <c r="C429" s="1">
        <v>45696</v>
      </c>
      <c r="D429" s="4">
        <f>IF(OR(Dispute[[#This Row],[Resolution_Date]]="",E429 = 0), "", E429-C429)</f>
        <v>7</v>
      </c>
      <c r="E429" s="1">
        <v>45703</v>
      </c>
      <c r="F429" t="s">
        <v>15</v>
      </c>
      <c r="G429" t="s">
        <v>18</v>
      </c>
      <c r="H429" t="s">
        <v>30</v>
      </c>
      <c r="I429" s="2">
        <v>68.830001831054688</v>
      </c>
      <c r="J429" t="s">
        <v>14</v>
      </c>
      <c r="K429" t="str">
        <f>IF(Dispute[[#This Row],[Status]] = "In Progress", IF(Dispute[[#This Row],[Time_Line]]&gt;5, "Overdue", "Within SLA"), "Closed")</f>
        <v>Closed</v>
      </c>
    </row>
    <row r="430" spans="1:11" x14ac:dyDescent="0.25">
      <c r="A430" t="s">
        <v>450</v>
      </c>
      <c r="B430" s="1">
        <v>45664</v>
      </c>
      <c r="C430" s="1">
        <v>45673</v>
      </c>
      <c r="D430" s="4">
        <f>IF(OR(Dispute[[#This Row],[Resolution_Date]]="",E430 = 0), "", E430-C430)</f>
        <v>5</v>
      </c>
      <c r="E430" s="1">
        <v>45678</v>
      </c>
      <c r="F430" t="s">
        <v>10</v>
      </c>
      <c r="G430" t="s">
        <v>16</v>
      </c>
      <c r="H430" t="s">
        <v>23</v>
      </c>
      <c r="I430" s="2">
        <v>994.8800048828125</v>
      </c>
      <c r="J430" t="s">
        <v>14</v>
      </c>
      <c r="K430" t="str">
        <f>IF(Dispute[[#This Row],[Status]] = "In Progress", IF(Dispute[[#This Row],[Time_Line]]&gt;5, "Overdue", "Within SLA"), "Closed")</f>
        <v>Closed</v>
      </c>
    </row>
    <row r="431" spans="1:11" x14ac:dyDescent="0.25">
      <c r="A431" t="s">
        <v>451</v>
      </c>
      <c r="B431" s="1">
        <v>45712</v>
      </c>
      <c r="C431" s="1">
        <v>45715</v>
      </c>
      <c r="D431" s="4">
        <f>IF(OR(Dispute[[#This Row],[Resolution_Date]]="",E431 = 0), "", E431-C431)</f>
        <v>7</v>
      </c>
      <c r="E431" s="1">
        <v>45722</v>
      </c>
      <c r="F431" t="s">
        <v>15</v>
      </c>
      <c r="G431" t="s">
        <v>11</v>
      </c>
      <c r="H431" t="s">
        <v>19</v>
      </c>
      <c r="I431" s="2">
        <v>683.28997802734375</v>
      </c>
      <c r="J431" t="s">
        <v>14</v>
      </c>
      <c r="K431" t="str">
        <f>IF(Dispute[[#This Row],[Status]] = "In Progress", IF(Dispute[[#This Row],[Time_Line]]&gt;5, "Overdue", "Within SLA"), "Closed")</f>
        <v>Closed</v>
      </c>
    </row>
    <row r="432" spans="1:11" x14ac:dyDescent="0.25">
      <c r="A432" t="s">
        <v>452</v>
      </c>
      <c r="B432" s="1">
        <v>45708</v>
      </c>
      <c r="C432" s="1">
        <v>45712</v>
      </c>
      <c r="D432" s="4">
        <f>IF(OR(Dispute[[#This Row],[Resolution_Date]]="",E432 = 0), "", E432-C432)</f>
        <v>2</v>
      </c>
      <c r="E432" s="1">
        <v>45714</v>
      </c>
      <c r="F432" t="s">
        <v>15</v>
      </c>
      <c r="G432" t="s">
        <v>11</v>
      </c>
      <c r="H432" t="s">
        <v>19</v>
      </c>
      <c r="I432" s="2">
        <v>762.3599853515625</v>
      </c>
      <c r="J432" t="s">
        <v>9</v>
      </c>
      <c r="K432" t="str">
        <f>IF(Dispute[[#This Row],[Status]] = "In Progress", IF(Dispute[[#This Row],[Time_Line]]&gt;5, "Overdue", "Within SLA"), "Closed")</f>
        <v>Closed</v>
      </c>
    </row>
    <row r="433" spans="1:11" x14ac:dyDescent="0.25">
      <c r="A433" t="s">
        <v>453</v>
      </c>
      <c r="B433" s="1">
        <v>45706</v>
      </c>
      <c r="C433" s="1">
        <v>45713</v>
      </c>
      <c r="D433" s="4">
        <f>IF(OR(Dispute[[#This Row],[Resolution_Date]]="",E433 = 0), "", E433-C433)</f>
        <v>4</v>
      </c>
      <c r="E433" s="1">
        <v>45717</v>
      </c>
      <c r="F433" t="s">
        <v>15</v>
      </c>
      <c r="G433" t="s">
        <v>18</v>
      </c>
      <c r="H433" t="s">
        <v>19</v>
      </c>
      <c r="I433" s="2">
        <v>961.20001220703125</v>
      </c>
      <c r="J433" t="s">
        <v>9</v>
      </c>
      <c r="K433" t="str">
        <f>IF(Dispute[[#This Row],[Status]] = "In Progress", IF(Dispute[[#This Row],[Time_Line]]&gt;5, "Overdue", "Within SLA"), "Closed")</f>
        <v>Closed</v>
      </c>
    </row>
    <row r="434" spans="1:11" x14ac:dyDescent="0.25">
      <c r="A434" t="s">
        <v>454</v>
      </c>
      <c r="B434" s="1">
        <v>45680</v>
      </c>
      <c r="C434" s="1">
        <v>45688</v>
      </c>
      <c r="D434" s="4" t="str">
        <f>IF(OR(Dispute[[#This Row],[Resolution_Date]]="",E434 = 0), "", E434-C434)</f>
        <v/>
      </c>
      <c r="F434" t="s">
        <v>15</v>
      </c>
      <c r="G434" t="s">
        <v>18</v>
      </c>
      <c r="H434" t="s">
        <v>12</v>
      </c>
      <c r="I434" s="2">
        <v>468.73001098632813</v>
      </c>
      <c r="J434" t="s">
        <v>46</v>
      </c>
      <c r="K434" t="str">
        <f>IF(Dispute[[#This Row],[Status]] = "In Progress", IF(Dispute[[#This Row],[Time_Line]]&gt;5, "Overdue", "Within SLA"), "Closed")</f>
        <v>Overdue</v>
      </c>
    </row>
    <row r="435" spans="1:11" x14ac:dyDescent="0.25">
      <c r="A435" t="s">
        <v>455</v>
      </c>
      <c r="B435" s="1">
        <v>45665</v>
      </c>
      <c r="C435" s="1">
        <v>45675</v>
      </c>
      <c r="D435" s="4">
        <f>IF(OR(Dispute[[#This Row],[Resolution_Date]]="",E435 = 0), "", E435-C435)</f>
        <v>6</v>
      </c>
      <c r="E435" s="1">
        <v>45681</v>
      </c>
      <c r="F435" t="s">
        <v>10</v>
      </c>
      <c r="G435" t="s">
        <v>18</v>
      </c>
      <c r="H435" t="s">
        <v>30</v>
      </c>
      <c r="I435" s="2">
        <v>1161.0999755859375</v>
      </c>
      <c r="J435" t="s">
        <v>14</v>
      </c>
      <c r="K435" t="str">
        <f>IF(Dispute[[#This Row],[Status]] = "In Progress", IF(Dispute[[#This Row],[Time_Line]]&gt;5, "Overdue", "Within SLA"), "Closed")</f>
        <v>Closed</v>
      </c>
    </row>
    <row r="436" spans="1:11" x14ac:dyDescent="0.25">
      <c r="A436" t="s">
        <v>456</v>
      </c>
      <c r="B436" s="1">
        <v>45690</v>
      </c>
      <c r="C436" s="1">
        <v>45693</v>
      </c>
      <c r="D436" s="4">
        <f>IF(OR(Dispute[[#This Row],[Resolution_Date]]="",E436 = 0), "", E436-C436)</f>
        <v>1</v>
      </c>
      <c r="E436" s="1">
        <v>45694</v>
      </c>
      <c r="F436" t="s">
        <v>25</v>
      </c>
      <c r="G436" t="s">
        <v>16</v>
      </c>
      <c r="H436" t="s">
        <v>23</v>
      </c>
      <c r="I436" s="2">
        <v>877.8699951171875</v>
      </c>
      <c r="J436" t="s">
        <v>9</v>
      </c>
      <c r="K436" t="str">
        <f>IF(Dispute[[#This Row],[Status]] = "In Progress", IF(Dispute[[#This Row],[Time_Line]]&gt;5, "Overdue", "Within SLA"), "Closed")</f>
        <v>Closed</v>
      </c>
    </row>
    <row r="437" spans="1:11" x14ac:dyDescent="0.25">
      <c r="A437" t="s">
        <v>457</v>
      </c>
      <c r="B437" s="1">
        <v>45668</v>
      </c>
      <c r="C437" s="1">
        <v>45675</v>
      </c>
      <c r="D437" s="4">
        <f>IF(OR(Dispute[[#This Row],[Resolution_Date]]="",E437 = 0), "", E437-C437)</f>
        <v>5</v>
      </c>
      <c r="E437" s="1">
        <v>45680</v>
      </c>
      <c r="F437" t="s">
        <v>15</v>
      </c>
      <c r="G437" t="s">
        <v>11</v>
      </c>
      <c r="H437" t="s">
        <v>23</v>
      </c>
      <c r="I437" s="2">
        <v>1193.9300537109375</v>
      </c>
      <c r="J437" t="s">
        <v>9</v>
      </c>
      <c r="K437" t="str">
        <f>IF(Dispute[[#This Row],[Status]] = "In Progress", IF(Dispute[[#This Row],[Time_Line]]&gt;5, "Overdue", "Within SLA"), "Closed")</f>
        <v>Closed</v>
      </c>
    </row>
    <row r="438" spans="1:11" x14ac:dyDescent="0.25">
      <c r="A438" t="s">
        <v>458</v>
      </c>
      <c r="B438" s="1">
        <v>45684</v>
      </c>
      <c r="C438" s="1">
        <v>45687</v>
      </c>
      <c r="D438" s="4">
        <f>IF(OR(Dispute[[#This Row],[Resolution_Date]]="",E438 = 0), "", E438-C438)</f>
        <v>3</v>
      </c>
      <c r="E438" s="1">
        <v>45690</v>
      </c>
      <c r="F438" t="s">
        <v>25</v>
      </c>
      <c r="G438" t="s">
        <v>11</v>
      </c>
      <c r="H438" t="s">
        <v>30</v>
      </c>
      <c r="I438" s="2">
        <v>106.58999633789063</v>
      </c>
      <c r="J438" t="s">
        <v>14</v>
      </c>
      <c r="K438" t="str">
        <f>IF(Dispute[[#This Row],[Status]] = "In Progress", IF(Dispute[[#This Row],[Time_Line]]&gt;5, "Overdue", "Within SLA"), "Closed")</f>
        <v>Closed</v>
      </c>
    </row>
    <row r="439" spans="1:11" x14ac:dyDescent="0.25">
      <c r="A439" t="s">
        <v>459</v>
      </c>
      <c r="B439" s="1">
        <v>45694</v>
      </c>
      <c r="C439" s="1">
        <v>45695</v>
      </c>
      <c r="D439" s="4">
        <f>IF(OR(Dispute[[#This Row],[Resolution_Date]]="",E439 = 0), "", E439-C439)</f>
        <v>1</v>
      </c>
      <c r="E439" s="1">
        <v>45696</v>
      </c>
      <c r="F439" t="s">
        <v>15</v>
      </c>
      <c r="G439" t="s">
        <v>18</v>
      </c>
      <c r="H439" t="s">
        <v>23</v>
      </c>
      <c r="I439" s="2">
        <v>519.40997314453125</v>
      </c>
      <c r="J439" t="s">
        <v>9</v>
      </c>
      <c r="K439" t="str">
        <f>IF(Dispute[[#This Row],[Status]] = "In Progress", IF(Dispute[[#This Row],[Time_Line]]&gt;5, "Overdue", "Within SLA"), "Closed")</f>
        <v>Closed</v>
      </c>
    </row>
    <row r="440" spans="1:11" x14ac:dyDescent="0.25">
      <c r="A440" t="s">
        <v>460</v>
      </c>
      <c r="B440" s="1">
        <v>45712</v>
      </c>
      <c r="C440" s="1">
        <v>45714</v>
      </c>
      <c r="D440" s="4" t="str">
        <f>IF(OR(Dispute[[#This Row],[Resolution_Date]]="",E440 = 0), "", E440-C440)</f>
        <v/>
      </c>
      <c r="F440" t="s">
        <v>10</v>
      </c>
      <c r="G440" t="s">
        <v>11</v>
      </c>
      <c r="H440" t="s">
        <v>23</v>
      </c>
      <c r="I440" s="2">
        <v>1103.8800048828125</v>
      </c>
      <c r="J440" t="s">
        <v>46</v>
      </c>
      <c r="K440" t="str">
        <f>IF(Dispute[[#This Row],[Status]] = "In Progress", IF(Dispute[[#This Row],[Time_Line]]&gt;5, "Overdue", "Within SLA"), "Closed")</f>
        <v>Overdue</v>
      </c>
    </row>
    <row r="441" spans="1:11" x14ac:dyDescent="0.25">
      <c r="A441" t="s">
        <v>461</v>
      </c>
      <c r="B441" s="1">
        <v>45689</v>
      </c>
      <c r="C441" s="1">
        <v>45690</v>
      </c>
      <c r="D441" s="4">
        <f>IF(OR(Dispute[[#This Row],[Resolution_Date]]="",E441 = 0), "", E441-C441)</f>
        <v>1</v>
      </c>
      <c r="E441" s="1">
        <v>45691</v>
      </c>
      <c r="F441" t="s">
        <v>10</v>
      </c>
      <c r="G441" t="s">
        <v>22</v>
      </c>
      <c r="H441" t="s">
        <v>30</v>
      </c>
      <c r="I441" s="2">
        <v>444.82000732421875</v>
      </c>
      <c r="J441" t="s">
        <v>14</v>
      </c>
      <c r="K441" t="str">
        <f>IF(Dispute[[#This Row],[Status]] = "In Progress", IF(Dispute[[#This Row],[Time_Line]]&gt;5, "Overdue", "Within SLA"), "Closed")</f>
        <v>Closed</v>
      </c>
    </row>
    <row r="442" spans="1:11" x14ac:dyDescent="0.25">
      <c r="A442" t="s">
        <v>462</v>
      </c>
      <c r="B442" s="1">
        <v>45703</v>
      </c>
      <c r="C442" s="1">
        <v>45709</v>
      </c>
      <c r="D442" s="4">
        <f>IF(OR(Dispute[[#This Row],[Resolution_Date]]="",E442 = 0), "", E442-C442)</f>
        <v>2</v>
      </c>
      <c r="E442" s="1">
        <v>45711</v>
      </c>
      <c r="F442" t="s">
        <v>10</v>
      </c>
      <c r="G442" t="s">
        <v>18</v>
      </c>
      <c r="H442" t="s">
        <v>19</v>
      </c>
      <c r="I442" s="2">
        <v>1041.530029296875</v>
      </c>
      <c r="J442" t="s">
        <v>14</v>
      </c>
      <c r="K442" t="str">
        <f>IF(Dispute[[#This Row],[Status]] = "In Progress", IF(Dispute[[#This Row],[Time_Line]]&gt;5, "Overdue", "Within SLA"), "Closed")</f>
        <v>Closed</v>
      </c>
    </row>
    <row r="443" spans="1:11" x14ac:dyDescent="0.25">
      <c r="A443" t="s">
        <v>463</v>
      </c>
      <c r="B443" s="1">
        <v>45692</v>
      </c>
      <c r="C443" s="1">
        <v>45696</v>
      </c>
      <c r="D443" s="4" t="str">
        <f>IF(OR(Dispute[[#This Row],[Resolution_Date]]="",E443 = 0), "", E443-C443)</f>
        <v/>
      </c>
      <c r="F443" t="s">
        <v>25</v>
      </c>
      <c r="G443" t="s">
        <v>11</v>
      </c>
      <c r="H443" t="s">
        <v>19</v>
      </c>
      <c r="I443" s="2">
        <v>1124.68994140625</v>
      </c>
      <c r="J443" t="s">
        <v>46</v>
      </c>
      <c r="K443" t="str">
        <f>IF(Dispute[[#This Row],[Status]] = "In Progress", IF(Dispute[[#This Row],[Time_Line]]&gt;5, "Overdue", "Within SLA"), "Closed")</f>
        <v>Overdue</v>
      </c>
    </row>
    <row r="444" spans="1:11" x14ac:dyDescent="0.25">
      <c r="A444" t="s">
        <v>464</v>
      </c>
      <c r="B444" s="1">
        <v>45690</v>
      </c>
      <c r="C444" s="1">
        <v>45698</v>
      </c>
      <c r="D444" s="4">
        <f>IF(OR(Dispute[[#This Row],[Resolution_Date]]="",E444 = 0), "", E444-C444)</f>
        <v>5</v>
      </c>
      <c r="E444" s="1">
        <v>45703</v>
      </c>
      <c r="F444" t="s">
        <v>25</v>
      </c>
      <c r="G444" t="s">
        <v>11</v>
      </c>
      <c r="H444" t="s">
        <v>12</v>
      </c>
      <c r="I444" s="2">
        <v>955.16998291015625</v>
      </c>
      <c r="J444" t="s">
        <v>14</v>
      </c>
      <c r="K444" t="str">
        <f>IF(Dispute[[#This Row],[Status]] = "In Progress", IF(Dispute[[#This Row],[Time_Line]]&gt;5, "Overdue", "Within SLA"), "Closed")</f>
        <v>Closed</v>
      </c>
    </row>
    <row r="445" spans="1:11" x14ac:dyDescent="0.25">
      <c r="A445" t="s">
        <v>465</v>
      </c>
      <c r="B445" s="1">
        <v>45694</v>
      </c>
      <c r="C445" s="1">
        <v>45702</v>
      </c>
      <c r="D445" s="4">
        <f>IF(OR(Dispute[[#This Row],[Resolution_Date]]="",E445 = 0), "", E445-C445)</f>
        <v>2</v>
      </c>
      <c r="E445" s="1">
        <v>45704</v>
      </c>
      <c r="F445" t="s">
        <v>10</v>
      </c>
      <c r="G445" t="s">
        <v>18</v>
      </c>
      <c r="H445" t="s">
        <v>12</v>
      </c>
      <c r="I445" s="2">
        <v>165.1300048828125</v>
      </c>
      <c r="J445" t="s">
        <v>14</v>
      </c>
      <c r="K445" t="str">
        <f>IF(Dispute[[#This Row],[Status]] = "In Progress", IF(Dispute[[#This Row],[Time_Line]]&gt;5, "Overdue", "Within SLA"), "Closed")</f>
        <v>Closed</v>
      </c>
    </row>
    <row r="446" spans="1:11" x14ac:dyDescent="0.25">
      <c r="A446" t="s">
        <v>466</v>
      </c>
      <c r="B446" s="1">
        <v>45672</v>
      </c>
      <c r="C446" s="1">
        <v>45676</v>
      </c>
      <c r="D446" s="4">
        <f>IF(OR(Dispute[[#This Row],[Resolution_Date]]="",E446 = 0), "", E446-C446)</f>
        <v>1</v>
      </c>
      <c r="E446" s="1">
        <v>45677</v>
      </c>
      <c r="F446" t="s">
        <v>10</v>
      </c>
      <c r="G446" t="s">
        <v>22</v>
      </c>
      <c r="H446" t="s">
        <v>12</v>
      </c>
      <c r="I446" s="2">
        <v>21.110000610351563</v>
      </c>
      <c r="J446" t="s">
        <v>14</v>
      </c>
      <c r="K446" t="str">
        <f>IF(Dispute[[#This Row],[Status]] = "In Progress", IF(Dispute[[#This Row],[Time_Line]]&gt;5, "Overdue", "Within SLA"), "Closed")</f>
        <v>Closed</v>
      </c>
    </row>
    <row r="447" spans="1:11" x14ac:dyDescent="0.25">
      <c r="A447" t="s">
        <v>467</v>
      </c>
      <c r="B447" s="1">
        <v>45661</v>
      </c>
      <c r="C447" s="1">
        <v>45664</v>
      </c>
      <c r="D447" s="4" t="str">
        <f>IF(OR(Dispute[[#This Row],[Resolution_Date]]="",E447 = 0), "", E447-C447)</f>
        <v/>
      </c>
      <c r="F447" t="s">
        <v>10</v>
      </c>
      <c r="G447" t="s">
        <v>16</v>
      </c>
      <c r="H447" t="s">
        <v>23</v>
      </c>
      <c r="I447" s="2">
        <v>558.92999267578125</v>
      </c>
      <c r="J447" t="s">
        <v>46</v>
      </c>
      <c r="K447" t="str">
        <f>IF(Dispute[[#This Row],[Status]] = "In Progress", IF(Dispute[[#This Row],[Time_Line]]&gt;5, "Overdue", "Within SLA"), "Closed")</f>
        <v>Overdue</v>
      </c>
    </row>
    <row r="448" spans="1:11" x14ac:dyDescent="0.25">
      <c r="A448" t="s">
        <v>468</v>
      </c>
      <c r="B448" s="1">
        <v>45673</v>
      </c>
      <c r="C448" s="1">
        <v>45677</v>
      </c>
      <c r="D448" s="4">
        <f>IF(OR(Dispute[[#This Row],[Resolution_Date]]="",E448 = 0), "", E448-C448)</f>
        <v>3</v>
      </c>
      <c r="E448" s="1">
        <v>45680</v>
      </c>
      <c r="F448" t="s">
        <v>10</v>
      </c>
      <c r="G448" t="s">
        <v>16</v>
      </c>
      <c r="H448" t="s">
        <v>30</v>
      </c>
      <c r="I448" s="2">
        <v>129.99000549316406</v>
      </c>
      <c r="J448" t="s">
        <v>9</v>
      </c>
      <c r="K448" t="str">
        <f>IF(Dispute[[#This Row],[Status]] = "In Progress", IF(Dispute[[#This Row],[Time_Line]]&gt;5, "Overdue", "Within SLA"), "Closed")</f>
        <v>Closed</v>
      </c>
    </row>
    <row r="449" spans="1:11" x14ac:dyDescent="0.25">
      <c r="A449" t="s">
        <v>469</v>
      </c>
      <c r="B449" s="1">
        <v>45678</v>
      </c>
      <c r="C449" s="1">
        <v>45686</v>
      </c>
      <c r="D449" s="4">
        <f>IF(OR(Dispute[[#This Row],[Resolution_Date]]="",E449 = 0), "", E449-C449)</f>
        <v>4</v>
      </c>
      <c r="E449" s="1">
        <v>45690</v>
      </c>
      <c r="F449" t="s">
        <v>10</v>
      </c>
      <c r="G449" t="s">
        <v>22</v>
      </c>
      <c r="H449" t="s">
        <v>23</v>
      </c>
      <c r="I449" s="2">
        <v>208.05999755859375</v>
      </c>
      <c r="J449" t="s">
        <v>9</v>
      </c>
      <c r="K449" t="str">
        <f>IF(Dispute[[#This Row],[Status]] = "In Progress", IF(Dispute[[#This Row],[Time_Line]]&gt;5, "Overdue", "Within SLA"), "Closed")</f>
        <v>Closed</v>
      </c>
    </row>
    <row r="450" spans="1:11" x14ac:dyDescent="0.25">
      <c r="A450" t="s">
        <v>470</v>
      </c>
      <c r="B450" s="1">
        <v>45665</v>
      </c>
      <c r="C450" s="1">
        <v>45669</v>
      </c>
      <c r="D450" s="4">
        <f>IF(OR(Dispute[[#This Row],[Resolution_Date]]="",E450 = 0), "", E450-C450)</f>
        <v>6</v>
      </c>
      <c r="E450" s="1">
        <v>45675</v>
      </c>
      <c r="F450" t="s">
        <v>25</v>
      </c>
      <c r="G450" t="s">
        <v>18</v>
      </c>
      <c r="H450" t="s">
        <v>23</v>
      </c>
      <c r="I450" s="2">
        <v>501.26998901367188</v>
      </c>
      <c r="J450" t="s">
        <v>9</v>
      </c>
      <c r="K450" t="str">
        <f>IF(Dispute[[#This Row],[Status]] = "In Progress", IF(Dispute[[#This Row],[Time_Line]]&gt;5, "Overdue", "Within SLA"), "Closed")</f>
        <v>Closed</v>
      </c>
    </row>
    <row r="451" spans="1:11" x14ac:dyDescent="0.25">
      <c r="A451" t="s">
        <v>471</v>
      </c>
      <c r="B451" s="1">
        <v>45665</v>
      </c>
      <c r="C451" s="1">
        <v>45669</v>
      </c>
      <c r="D451" s="4">
        <f>IF(OR(Dispute[[#This Row],[Resolution_Date]]="",E451 = 0), "", E451-C451)</f>
        <v>1</v>
      </c>
      <c r="E451" s="1">
        <v>45670</v>
      </c>
      <c r="F451" t="s">
        <v>10</v>
      </c>
      <c r="G451" t="s">
        <v>22</v>
      </c>
      <c r="H451" t="s">
        <v>19</v>
      </c>
      <c r="I451" s="2">
        <v>817.780029296875</v>
      </c>
      <c r="J451" t="s">
        <v>14</v>
      </c>
      <c r="K451" t="str">
        <f>IF(Dispute[[#This Row],[Status]] = "In Progress", IF(Dispute[[#This Row],[Time_Line]]&gt;5, "Overdue", "Within SLA"), "Closed")</f>
        <v>Closed</v>
      </c>
    </row>
    <row r="452" spans="1:11" x14ac:dyDescent="0.25">
      <c r="A452" t="s">
        <v>472</v>
      </c>
      <c r="B452" s="1">
        <v>45660</v>
      </c>
      <c r="C452" s="1">
        <v>45669</v>
      </c>
      <c r="D452" s="4">
        <f>IF(OR(Dispute[[#This Row],[Resolution_Date]]="",E452 = 0), "", E452-C452)</f>
        <v>6</v>
      </c>
      <c r="E452" s="1">
        <v>45675</v>
      </c>
      <c r="F452" t="s">
        <v>10</v>
      </c>
      <c r="G452" t="s">
        <v>11</v>
      </c>
      <c r="H452" t="s">
        <v>12</v>
      </c>
      <c r="I452" s="2">
        <v>1123.4000244140625</v>
      </c>
      <c r="J452" t="s">
        <v>9</v>
      </c>
      <c r="K452" t="str">
        <f>IF(Dispute[[#This Row],[Status]] = "In Progress", IF(Dispute[[#This Row],[Time_Line]]&gt;5, "Overdue", "Within SLA"), "Closed")</f>
        <v>Closed</v>
      </c>
    </row>
    <row r="453" spans="1:11" x14ac:dyDescent="0.25">
      <c r="A453" t="s">
        <v>473</v>
      </c>
      <c r="B453" s="1">
        <v>45690</v>
      </c>
      <c r="C453" s="1">
        <v>45694</v>
      </c>
      <c r="D453" s="4">
        <f>IF(OR(Dispute[[#This Row],[Resolution_Date]]="",E453 = 0), "", E453-C453)</f>
        <v>5</v>
      </c>
      <c r="E453" s="1">
        <v>45699</v>
      </c>
      <c r="F453" t="s">
        <v>25</v>
      </c>
      <c r="G453" t="s">
        <v>16</v>
      </c>
      <c r="H453" t="s">
        <v>30</v>
      </c>
      <c r="I453" s="2">
        <v>1098.6300048828125</v>
      </c>
      <c r="J453" t="s">
        <v>14</v>
      </c>
      <c r="K453" t="str">
        <f>IF(Dispute[[#This Row],[Status]] = "In Progress", IF(Dispute[[#This Row],[Time_Line]]&gt;5, "Overdue", "Within SLA"), "Closed")</f>
        <v>Closed</v>
      </c>
    </row>
    <row r="454" spans="1:11" x14ac:dyDescent="0.25">
      <c r="A454" t="s">
        <v>474</v>
      </c>
      <c r="B454" s="1">
        <v>45661</v>
      </c>
      <c r="C454" s="1">
        <v>45665</v>
      </c>
      <c r="D454" s="4">
        <f>IF(OR(Dispute[[#This Row],[Resolution_Date]]="",E454 = 0), "", E454-C454)</f>
        <v>1</v>
      </c>
      <c r="E454" s="1">
        <v>45666</v>
      </c>
      <c r="F454" t="s">
        <v>25</v>
      </c>
      <c r="G454" t="s">
        <v>11</v>
      </c>
      <c r="H454" t="s">
        <v>12</v>
      </c>
      <c r="I454" s="2">
        <v>384.17999267578125</v>
      </c>
      <c r="J454" t="s">
        <v>9</v>
      </c>
      <c r="K454" t="str">
        <f>IF(Dispute[[#This Row],[Status]] = "In Progress", IF(Dispute[[#This Row],[Time_Line]]&gt;5, "Overdue", "Within SLA"), "Closed")</f>
        <v>Closed</v>
      </c>
    </row>
    <row r="455" spans="1:11" x14ac:dyDescent="0.25">
      <c r="A455" t="s">
        <v>475</v>
      </c>
      <c r="B455" s="1">
        <v>45688</v>
      </c>
      <c r="C455" s="1">
        <v>45690</v>
      </c>
      <c r="D455" s="4">
        <f>IF(OR(Dispute[[#This Row],[Resolution_Date]]="",E455 = 0), "", E455-C455)</f>
        <v>1</v>
      </c>
      <c r="E455" s="1">
        <v>45691</v>
      </c>
      <c r="F455" t="s">
        <v>15</v>
      </c>
      <c r="G455" t="s">
        <v>16</v>
      </c>
      <c r="H455" t="s">
        <v>23</v>
      </c>
      <c r="I455" s="2">
        <v>175.77999877929688</v>
      </c>
      <c r="J455" t="s">
        <v>9</v>
      </c>
      <c r="K455" t="str">
        <f>IF(Dispute[[#This Row],[Status]] = "In Progress", IF(Dispute[[#This Row],[Time_Line]]&gt;5, "Overdue", "Within SLA"), "Closed")</f>
        <v>Closed</v>
      </c>
    </row>
    <row r="456" spans="1:11" x14ac:dyDescent="0.25">
      <c r="A456" t="s">
        <v>476</v>
      </c>
      <c r="B456" s="1">
        <v>45713</v>
      </c>
      <c r="C456" s="1">
        <v>45720</v>
      </c>
      <c r="D456" s="4">
        <f>IF(OR(Dispute[[#This Row],[Resolution_Date]]="",E456 = 0), "", E456-C456)</f>
        <v>5</v>
      </c>
      <c r="E456" s="1">
        <v>45725</v>
      </c>
      <c r="F456" t="s">
        <v>15</v>
      </c>
      <c r="G456" t="s">
        <v>11</v>
      </c>
      <c r="H456" t="s">
        <v>30</v>
      </c>
      <c r="I456" s="2">
        <v>801.760009765625</v>
      </c>
      <c r="J456" t="s">
        <v>14</v>
      </c>
      <c r="K456" t="str">
        <f>IF(Dispute[[#This Row],[Status]] = "In Progress", IF(Dispute[[#This Row],[Time_Line]]&gt;5, "Overdue", "Within SLA"), "Closed")</f>
        <v>Closed</v>
      </c>
    </row>
    <row r="457" spans="1:11" x14ac:dyDescent="0.25">
      <c r="A457" t="s">
        <v>477</v>
      </c>
      <c r="B457" s="1">
        <v>45667</v>
      </c>
      <c r="C457" s="1">
        <v>45670</v>
      </c>
      <c r="D457" s="4">
        <f>IF(OR(Dispute[[#This Row],[Resolution_Date]]="",E457 = 0), "", E457-C457)</f>
        <v>2</v>
      </c>
      <c r="E457" s="1">
        <v>45672</v>
      </c>
      <c r="F457" t="s">
        <v>25</v>
      </c>
      <c r="G457" t="s">
        <v>22</v>
      </c>
      <c r="H457" t="s">
        <v>12</v>
      </c>
      <c r="I457" s="2">
        <v>835.69000244140625</v>
      </c>
      <c r="J457" t="s">
        <v>9</v>
      </c>
      <c r="K457" t="str">
        <f>IF(Dispute[[#This Row],[Status]] = "In Progress", IF(Dispute[[#This Row],[Time_Line]]&gt;5, "Overdue", "Within SLA"), "Closed")</f>
        <v>Closed</v>
      </c>
    </row>
    <row r="458" spans="1:11" x14ac:dyDescent="0.25">
      <c r="A458" t="s">
        <v>478</v>
      </c>
      <c r="B458" s="1">
        <v>45694</v>
      </c>
      <c r="C458" s="1">
        <v>45697</v>
      </c>
      <c r="D458" s="4">
        <f>IF(OR(Dispute[[#This Row],[Resolution_Date]]="",E458 = 0), "", E458-C458)</f>
        <v>6</v>
      </c>
      <c r="E458" s="1">
        <v>45703</v>
      </c>
      <c r="F458" t="s">
        <v>10</v>
      </c>
      <c r="G458" t="s">
        <v>18</v>
      </c>
      <c r="H458" t="s">
        <v>23</v>
      </c>
      <c r="I458" s="2">
        <v>428.33999633789063</v>
      </c>
      <c r="J458" t="s">
        <v>9</v>
      </c>
      <c r="K458" t="str">
        <f>IF(Dispute[[#This Row],[Status]] = "In Progress", IF(Dispute[[#This Row],[Time_Line]]&gt;5, "Overdue", "Within SLA"), "Closed")</f>
        <v>Closed</v>
      </c>
    </row>
    <row r="459" spans="1:11" x14ac:dyDescent="0.25">
      <c r="A459" t="s">
        <v>479</v>
      </c>
      <c r="B459" s="1">
        <v>45711</v>
      </c>
      <c r="C459" s="1">
        <v>45719</v>
      </c>
      <c r="D459" s="4">
        <f>IF(OR(Dispute[[#This Row],[Resolution_Date]]="",E459 = 0), "", E459-C459)</f>
        <v>5</v>
      </c>
      <c r="E459" s="1">
        <v>45724</v>
      </c>
      <c r="F459" t="s">
        <v>25</v>
      </c>
      <c r="G459" t="s">
        <v>18</v>
      </c>
      <c r="H459" t="s">
        <v>19</v>
      </c>
      <c r="I459" s="2">
        <v>83.769996643066406</v>
      </c>
      <c r="J459" t="s">
        <v>14</v>
      </c>
      <c r="K459" t="str">
        <f>IF(Dispute[[#This Row],[Status]] = "In Progress", IF(Dispute[[#This Row],[Time_Line]]&gt;5, "Overdue", "Within SLA"), "Closed")</f>
        <v>Closed</v>
      </c>
    </row>
    <row r="460" spans="1:11" x14ac:dyDescent="0.25">
      <c r="A460" t="s">
        <v>480</v>
      </c>
      <c r="B460" s="1">
        <v>45677</v>
      </c>
      <c r="C460" s="1">
        <v>45680</v>
      </c>
      <c r="D460" s="4">
        <f>IF(OR(Dispute[[#This Row],[Resolution_Date]]="",E460 = 0), "", E460-C460)</f>
        <v>7</v>
      </c>
      <c r="E460" s="1">
        <v>45687</v>
      </c>
      <c r="F460" t="s">
        <v>10</v>
      </c>
      <c r="G460" t="s">
        <v>18</v>
      </c>
      <c r="H460" t="s">
        <v>30</v>
      </c>
      <c r="I460" s="2">
        <v>271.08999633789063</v>
      </c>
      <c r="J460" t="s">
        <v>9</v>
      </c>
      <c r="K460" t="str">
        <f>IF(Dispute[[#This Row],[Status]] = "In Progress", IF(Dispute[[#This Row],[Time_Line]]&gt;5, "Overdue", "Within SLA"), "Closed")</f>
        <v>Closed</v>
      </c>
    </row>
    <row r="461" spans="1:11" x14ac:dyDescent="0.25">
      <c r="A461" t="s">
        <v>481</v>
      </c>
      <c r="B461" s="1">
        <v>45673</v>
      </c>
      <c r="C461" s="1">
        <v>45683</v>
      </c>
      <c r="D461" s="4">
        <f>IF(OR(Dispute[[#This Row],[Resolution_Date]]="",E461 = 0), "", E461-C461)</f>
        <v>7</v>
      </c>
      <c r="E461" s="1">
        <v>45690</v>
      </c>
      <c r="F461" t="s">
        <v>10</v>
      </c>
      <c r="G461" t="s">
        <v>18</v>
      </c>
      <c r="H461" t="s">
        <v>19</v>
      </c>
      <c r="I461" s="2">
        <v>200.3800048828125</v>
      </c>
      <c r="J461" t="s">
        <v>14</v>
      </c>
      <c r="K461" t="str">
        <f>IF(Dispute[[#This Row],[Status]] = "In Progress", IF(Dispute[[#This Row],[Time_Line]]&gt;5, "Overdue", "Within SLA"), "Closed")</f>
        <v>Closed</v>
      </c>
    </row>
    <row r="462" spans="1:11" x14ac:dyDescent="0.25">
      <c r="A462" t="s">
        <v>482</v>
      </c>
      <c r="B462" s="1">
        <v>45681</v>
      </c>
      <c r="C462" s="1">
        <v>45687</v>
      </c>
      <c r="D462" s="4">
        <f>IF(OR(Dispute[[#This Row],[Resolution_Date]]="",E462 = 0), "", E462-C462)</f>
        <v>7</v>
      </c>
      <c r="E462" s="1">
        <v>45694</v>
      </c>
      <c r="F462" t="s">
        <v>10</v>
      </c>
      <c r="G462" t="s">
        <v>18</v>
      </c>
      <c r="H462" t="s">
        <v>30</v>
      </c>
      <c r="I462" s="2">
        <v>167.71000671386719</v>
      </c>
      <c r="J462" t="s">
        <v>14</v>
      </c>
      <c r="K462" t="str">
        <f>IF(Dispute[[#This Row],[Status]] = "In Progress", IF(Dispute[[#This Row],[Time_Line]]&gt;5, "Overdue", "Within SLA"), "Closed")</f>
        <v>Closed</v>
      </c>
    </row>
    <row r="463" spans="1:11" x14ac:dyDescent="0.25">
      <c r="A463" t="s">
        <v>483</v>
      </c>
      <c r="B463" s="1">
        <v>45704</v>
      </c>
      <c r="C463" s="1">
        <v>45712</v>
      </c>
      <c r="D463" s="4" t="str">
        <f>IF(OR(Dispute[[#This Row],[Resolution_Date]]="",E463 = 0), "", E463-C463)</f>
        <v/>
      </c>
      <c r="F463" t="s">
        <v>15</v>
      </c>
      <c r="G463" t="s">
        <v>11</v>
      </c>
      <c r="H463" t="s">
        <v>23</v>
      </c>
      <c r="I463" s="2">
        <v>263.77999877929688</v>
      </c>
      <c r="J463" t="s">
        <v>46</v>
      </c>
      <c r="K463" t="str">
        <f>IF(Dispute[[#This Row],[Status]] = "In Progress", IF(Dispute[[#This Row],[Time_Line]]&gt;5, "Overdue", "Within SLA"), "Closed")</f>
        <v>Overdue</v>
      </c>
    </row>
    <row r="464" spans="1:11" x14ac:dyDescent="0.25">
      <c r="A464" t="s">
        <v>484</v>
      </c>
      <c r="B464" s="1">
        <v>45697</v>
      </c>
      <c r="C464" s="1">
        <v>45702</v>
      </c>
      <c r="D464" s="4" t="str">
        <f>IF(OR(Dispute[[#This Row],[Resolution_Date]]="",E464 = 0), "", E464-C464)</f>
        <v/>
      </c>
      <c r="F464" t="s">
        <v>15</v>
      </c>
      <c r="G464" t="s">
        <v>18</v>
      </c>
      <c r="H464" t="s">
        <v>12</v>
      </c>
      <c r="I464" s="2">
        <v>891.719970703125</v>
      </c>
      <c r="J464" t="s">
        <v>46</v>
      </c>
      <c r="K464" t="str">
        <f>IF(Dispute[[#This Row],[Status]] = "In Progress", IF(Dispute[[#This Row],[Time_Line]]&gt;5, "Overdue", "Within SLA"), "Closed")</f>
        <v>Overdue</v>
      </c>
    </row>
    <row r="465" spans="1:11" x14ac:dyDescent="0.25">
      <c r="A465" t="s">
        <v>485</v>
      </c>
      <c r="B465" s="1">
        <v>45663</v>
      </c>
      <c r="C465" s="1">
        <v>45666</v>
      </c>
      <c r="D465" s="4">
        <f>IF(OR(Dispute[[#This Row],[Resolution_Date]]="",E465 = 0), "", E465-C465)</f>
        <v>2</v>
      </c>
      <c r="E465" s="1">
        <v>45668</v>
      </c>
      <c r="F465" t="s">
        <v>10</v>
      </c>
      <c r="G465" t="s">
        <v>16</v>
      </c>
      <c r="H465" t="s">
        <v>12</v>
      </c>
      <c r="I465" s="2">
        <v>387.8900146484375</v>
      </c>
      <c r="J465" t="s">
        <v>14</v>
      </c>
      <c r="K465" t="str">
        <f>IF(Dispute[[#This Row],[Status]] = "In Progress", IF(Dispute[[#This Row],[Time_Line]]&gt;5, "Overdue", "Within SLA"), "Closed")</f>
        <v>Closed</v>
      </c>
    </row>
    <row r="466" spans="1:11" x14ac:dyDescent="0.25">
      <c r="A466" t="s">
        <v>486</v>
      </c>
      <c r="B466" s="1">
        <v>45693</v>
      </c>
      <c r="C466" s="1">
        <v>45703</v>
      </c>
      <c r="D466" s="4">
        <f>IF(OR(Dispute[[#This Row],[Resolution_Date]]="",E466 = 0), "", E466-C466)</f>
        <v>4</v>
      </c>
      <c r="E466" s="1">
        <v>45707</v>
      </c>
      <c r="F466" t="s">
        <v>25</v>
      </c>
      <c r="G466" t="s">
        <v>22</v>
      </c>
      <c r="H466" t="s">
        <v>12</v>
      </c>
      <c r="I466" s="2">
        <v>1043.75</v>
      </c>
      <c r="J466" t="s">
        <v>14</v>
      </c>
      <c r="K466" t="str">
        <f>IF(Dispute[[#This Row],[Status]] = "In Progress", IF(Dispute[[#This Row],[Time_Line]]&gt;5, "Overdue", "Within SLA"), "Closed")</f>
        <v>Closed</v>
      </c>
    </row>
    <row r="467" spans="1:11" x14ac:dyDescent="0.25">
      <c r="A467" t="s">
        <v>487</v>
      </c>
      <c r="B467" s="1">
        <v>45668</v>
      </c>
      <c r="C467" s="1">
        <v>45676</v>
      </c>
      <c r="D467" s="4">
        <f>IF(OR(Dispute[[#This Row],[Resolution_Date]]="",E467 = 0), "", E467-C467)</f>
        <v>2</v>
      </c>
      <c r="E467" s="1">
        <v>45678</v>
      </c>
      <c r="F467" t="s">
        <v>25</v>
      </c>
      <c r="G467" t="s">
        <v>22</v>
      </c>
      <c r="H467" t="s">
        <v>30</v>
      </c>
      <c r="I467" s="2">
        <v>653.91998291015625</v>
      </c>
      <c r="J467" t="s">
        <v>14</v>
      </c>
      <c r="K467" t="str">
        <f>IF(Dispute[[#This Row],[Status]] = "In Progress", IF(Dispute[[#This Row],[Time_Line]]&gt;5, "Overdue", "Within SLA"), "Closed")</f>
        <v>Closed</v>
      </c>
    </row>
    <row r="468" spans="1:11" x14ac:dyDescent="0.25">
      <c r="A468" t="s">
        <v>488</v>
      </c>
      <c r="B468" s="1">
        <v>45692</v>
      </c>
      <c r="C468" s="1">
        <v>45700</v>
      </c>
      <c r="D468" s="4">
        <f>IF(OR(Dispute[[#This Row],[Resolution_Date]]="",E468 = 0), "", E468-C468)</f>
        <v>3</v>
      </c>
      <c r="E468" s="1">
        <v>45703</v>
      </c>
      <c r="F468" t="s">
        <v>25</v>
      </c>
      <c r="G468" t="s">
        <v>18</v>
      </c>
      <c r="H468" t="s">
        <v>30</v>
      </c>
      <c r="I468" s="2">
        <v>373.91000366210938</v>
      </c>
      <c r="J468" t="s">
        <v>14</v>
      </c>
      <c r="K468" t="str">
        <f>IF(Dispute[[#This Row],[Status]] = "In Progress", IF(Dispute[[#This Row],[Time_Line]]&gt;5, "Overdue", "Within SLA"), "Closed")</f>
        <v>Closed</v>
      </c>
    </row>
    <row r="469" spans="1:11" x14ac:dyDescent="0.25">
      <c r="A469" t="s">
        <v>489</v>
      </c>
      <c r="B469" s="1">
        <v>45713</v>
      </c>
      <c r="C469" s="1">
        <v>45717</v>
      </c>
      <c r="D469" s="4">
        <f>IF(OR(Dispute[[#This Row],[Resolution_Date]]="",E469 = 0), "", E469-C469)</f>
        <v>7</v>
      </c>
      <c r="E469" s="1">
        <v>45724</v>
      </c>
      <c r="F469" t="s">
        <v>10</v>
      </c>
      <c r="G469" t="s">
        <v>16</v>
      </c>
      <c r="H469" t="s">
        <v>30</v>
      </c>
      <c r="I469" s="2">
        <v>686.79998779296875</v>
      </c>
      <c r="J469" t="s">
        <v>14</v>
      </c>
      <c r="K469" t="str">
        <f>IF(Dispute[[#This Row],[Status]] = "In Progress", IF(Dispute[[#This Row],[Time_Line]]&gt;5, "Overdue", "Within SLA"), "Closed")</f>
        <v>Closed</v>
      </c>
    </row>
    <row r="470" spans="1:11" x14ac:dyDescent="0.25">
      <c r="A470" t="s">
        <v>490</v>
      </c>
      <c r="B470" s="1">
        <v>45706</v>
      </c>
      <c r="C470" s="1">
        <v>45713</v>
      </c>
      <c r="D470" s="4">
        <f>IF(OR(Dispute[[#This Row],[Resolution_Date]]="",E470 = 0), "", E470-C470)</f>
        <v>4</v>
      </c>
      <c r="E470" s="1">
        <v>45717</v>
      </c>
      <c r="F470" t="s">
        <v>15</v>
      </c>
      <c r="G470" t="s">
        <v>16</v>
      </c>
      <c r="H470" t="s">
        <v>30</v>
      </c>
      <c r="I470" s="2">
        <v>54.220001220703125</v>
      </c>
      <c r="J470" t="s">
        <v>14</v>
      </c>
      <c r="K470" t="str">
        <f>IF(Dispute[[#This Row],[Status]] = "In Progress", IF(Dispute[[#This Row],[Time_Line]]&gt;5, "Overdue", "Within SLA"), "Closed")</f>
        <v>Closed</v>
      </c>
    </row>
    <row r="471" spans="1:11" x14ac:dyDescent="0.25">
      <c r="A471" t="s">
        <v>491</v>
      </c>
      <c r="B471" s="1">
        <v>45668</v>
      </c>
      <c r="C471" s="1">
        <v>45672</v>
      </c>
      <c r="D471" s="4">
        <f>IF(OR(Dispute[[#This Row],[Resolution_Date]]="",E471 = 0), "", E471-C471)</f>
        <v>6</v>
      </c>
      <c r="E471" s="1">
        <v>45678</v>
      </c>
      <c r="F471" t="s">
        <v>10</v>
      </c>
      <c r="G471" t="s">
        <v>18</v>
      </c>
      <c r="H471" t="s">
        <v>12</v>
      </c>
      <c r="I471" s="2">
        <v>291.80999755859375</v>
      </c>
      <c r="J471" t="s">
        <v>14</v>
      </c>
      <c r="K471" t="str">
        <f>IF(Dispute[[#This Row],[Status]] = "In Progress", IF(Dispute[[#This Row],[Time_Line]]&gt;5, "Overdue", "Within SLA"), "Closed")</f>
        <v>Closed</v>
      </c>
    </row>
    <row r="472" spans="1:11" x14ac:dyDescent="0.25">
      <c r="A472" t="s">
        <v>492</v>
      </c>
      <c r="B472" s="1">
        <v>45704</v>
      </c>
      <c r="C472" s="1">
        <v>45709</v>
      </c>
      <c r="D472" s="4">
        <f>IF(OR(Dispute[[#This Row],[Resolution_Date]]="",E472 = 0), "", E472-C472)</f>
        <v>1</v>
      </c>
      <c r="E472" s="1">
        <v>45710</v>
      </c>
      <c r="F472" t="s">
        <v>10</v>
      </c>
      <c r="G472" t="s">
        <v>16</v>
      </c>
      <c r="H472" t="s">
        <v>23</v>
      </c>
      <c r="I472" s="2">
        <v>914.010009765625</v>
      </c>
      <c r="J472" t="s">
        <v>14</v>
      </c>
      <c r="K472" t="str">
        <f>IF(Dispute[[#This Row],[Status]] = "In Progress", IF(Dispute[[#This Row],[Time_Line]]&gt;5, "Overdue", "Within SLA"), "Closed")</f>
        <v>Closed</v>
      </c>
    </row>
    <row r="473" spans="1:11" x14ac:dyDescent="0.25">
      <c r="A473" t="s">
        <v>493</v>
      </c>
      <c r="B473" s="1">
        <v>45669</v>
      </c>
      <c r="C473" s="1">
        <v>45670</v>
      </c>
      <c r="D473" s="4">
        <f>IF(OR(Dispute[[#This Row],[Resolution_Date]]="",E473 = 0), "", E473-C473)</f>
        <v>7</v>
      </c>
      <c r="E473" s="1">
        <v>45677</v>
      </c>
      <c r="F473" t="s">
        <v>15</v>
      </c>
      <c r="G473" t="s">
        <v>22</v>
      </c>
      <c r="H473" t="s">
        <v>30</v>
      </c>
      <c r="I473" s="2">
        <v>717.20001220703125</v>
      </c>
      <c r="J473" t="s">
        <v>14</v>
      </c>
      <c r="K473" t="str">
        <f>IF(Dispute[[#This Row],[Status]] = "In Progress", IF(Dispute[[#This Row],[Time_Line]]&gt;5, "Overdue", "Within SLA"), "Closed")</f>
        <v>Closed</v>
      </c>
    </row>
    <row r="474" spans="1:11" x14ac:dyDescent="0.25">
      <c r="A474" t="s">
        <v>494</v>
      </c>
      <c r="B474" s="1">
        <v>45695</v>
      </c>
      <c r="C474" s="1">
        <v>45703</v>
      </c>
      <c r="D474" s="4" t="str">
        <f>IF(OR(Dispute[[#This Row],[Resolution_Date]]="",E474 = 0), "", E474-C474)</f>
        <v/>
      </c>
      <c r="F474" t="s">
        <v>15</v>
      </c>
      <c r="G474" t="s">
        <v>22</v>
      </c>
      <c r="H474" t="s">
        <v>19</v>
      </c>
      <c r="I474" s="2">
        <v>837.46002197265625</v>
      </c>
      <c r="J474" t="s">
        <v>46</v>
      </c>
      <c r="K474" t="str">
        <f>IF(Dispute[[#This Row],[Status]] = "In Progress", IF(Dispute[[#This Row],[Time_Line]]&gt;5, "Overdue", "Within SLA"), "Closed")</f>
        <v>Overdue</v>
      </c>
    </row>
    <row r="475" spans="1:11" x14ac:dyDescent="0.25">
      <c r="A475" t="s">
        <v>495</v>
      </c>
      <c r="B475" s="1">
        <v>45714</v>
      </c>
      <c r="C475" s="1">
        <v>45715</v>
      </c>
      <c r="D475" s="4">
        <f>IF(OR(Dispute[[#This Row],[Resolution_Date]]="",E475 = 0), "", E475-C475)</f>
        <v>4</v>
      </c>
      <c r="E475" s="1">
        <v>45719</v>
      </c>
      <c r="F475" t="s">
        <v>15</v>
      </c>
      <c r="G475" t="s">
        <v>18</v>
      </c>
      <c r="H475" t="s">
        <v>23</v>
      </c>
      <c r="I475" s="2">
        <v>729.3599853515625</v>
      </c>
      <c r="J475" t="s">
        <v>9</v>
      </c>
      <c r="K475" t="str">
        <f>IF(Dispute[[#This Row],[Status]] = "In Progress", IF(Dispute[[#This Row],[Time_Line]]&gt;5, "Overdue", "Within SLA"), "Closed")</f>
        <v>Closed</v>
      </c>
    </row>
    <row r="476" spans="1:11" x14ac:dyDescent="0.25">
      <c r="A476" t="s">
        <v>496</v>
      </c>
      <c r="B476" s="1">
        <v>45706</v>
      </c>
      <c r="C476" s="1">
        <v>45713</v>
      </c>
      <c r="D476" s="4">
        <f>IF(OR(Dispute[[#This Row],[Resolution_Date]]="",E476 = 0), "", E476-C476)</f>
        <v>2</v>
      </c>
      <c r="E476" s="1">
        <v>45715</v>
      </c>
      <c r="F476" t="s">
        <v>25</v>
      </c>
      <c r="G476" t="s">
        <v>11</v>
      </c>
      <c r="H476" t="s">
        <v>19</v>
      </c>
      <c r="I476" s="2">
        <v>743.6099853515625</v>
      </c>
      <c r="J476" t="s">
        <v>14</v>
      </c>
      <c r="K476" t="str">
        <f>IF(Dispute[[#This Row],[Status]] = "In Progress", IF(Dispute[[#This Row],[Time_Line]]&gt;5, "Overdue", "Within SLA"), "Closed")</f>
        <v>Closed</v>
      </c>
    </row>
    <row r="477" spans="1:11" x14ac:dyDescent="0.25">
      <c r="A477" t="s">
        <v>497</v>
      </c>
      <c r="B477" s="1">
        <v>45688</v>
      </c>
      <c r="C477" s="1">
        <v>45693</v>
      </c>
      <c r="D477" s="4">
        <f>IF(OR(Dispute[[#This Row],[Resolution_Date]]="",E477 = 0), "", E477-C477)</f>
        <v>7</v>
      </c>
      <c r="E477" s="1">
        <v>45700</v>
      </c>
      <c r="F477" t="s">
        <v>15</v>
      </c>
      <c r="G477" t="s">
        <v>22</v>
      </c>
      <c r="H477" t="s">
        <v>12</v>
      </c>
      <c r="I477" s="2">
        <v>81.709999084472656</v>
      </c>
      <c r="J477" t="s">
        <v>14</v>
      </c>
      <c r="K477" t="str">
        <f>IF(Dispute[[#This Row],[Status]] = "In Progress", IF(Dispute[[#This Row],[Time_Line]]&gt;5, "Overdue", "Within SLA"), "Closed")</f>
        <v>Closed</v>
      </c>
    </row>
    <row r="478" spans="1:11" x14ac:dyDescent="0.25">
      <c r="A478" t="s">
        <v>498</v>
      </c>
      <c r="B478" s="1">
        <v>45677</v>
      </c>
      <c r="C478" s="1">
        <v>45687</v>
      </c>
      <c r="D478" s="4">
        <f>IF(OR(Dispute[[#This Row],[Resolution_Date]]="",E478 = 0), "", E478-C478)</f>
        <v>2</v>
      </c>
      <c r="E478" s="1">
        <v>45689</v>
      </c>
      <c r="F478" t="s">
        <v>15</v>
      </c>
      <c r="G478" t="s">
        <v>22</v>
      </c>
      <c r="H478" t="s">
        <v>19</v>
      </c>
      <c r="I478" s="2">
        <v>1164.0899658203125</v>
      </c>
      <c r="J478" t="s">
        <v>14</v>
      </c>
      <c r="K478" t="str">
        <f>IF(Dispute[[#This Row],[Status]] = "In Progress", IF(Dispute[[#This Row],[Time_Line]]&gt;5, "Overdue", "Within SLA"), "Closed")</f>
        <v>Closed</v>
      </c>
    </row>
    <row r="479" spans="1:11" x14ac:dyDescent="0.25">
      <c r="A479" t="s">
        <v>499</v>
      </c>
      <c r="B479" s="1">
        <v>45665</v>
      </c>
      <c r="C479" s="1">
        <v>45673</v>
      </c>
      <c r="D479" s="4" t="str">
        <f>IF(OR(Dispute[[#This Row],[Resolution_Date]]="",E479 = 0), "", E479-C479)</f>
        <v/>
      </c>
      <c r="F479" t="s">
        <v>15</v>
      </c>
      <c r="G479" t="s">
        <v>22</v>
      </c>
      <c r="H479" t="s">
        <v>19</v>
      </c>
      <c r="I479" s="2">
        <v>705.15997314453125</v>
      </c>
      <c r="J479" t="s">
        <v>46</v>
      </c>
      <c r="K479" t="str">
        <f>IF(Dispute[[#This Row],[Status]] = "In Progress", IF(Dispute[[#This Row],[Time_Line]]&gt;5, "Overdue", "Within SLA"), "Closed")</f>
        <v>Overdue</v>
      </c>
    </row>
    <row r="480" spans="1:11" x14ac:dyDescent="0.25">
      <c r="A480" t="s">
        <v>500</v>
      </c>
      <c r="B480" s="1">
        <v>45671</v>
      </c>
      <c r="C480" s="1">
        <v>45680</v>
      </c>
      <c r="D480" s="4">
        <f>IF(OR(Dispute[[#This Row],[Resolution_Date]]="",E480 = 0), "", E480-C480)</f>
        <v>3</v>
      </c>
      <c r="E480" s="1">
        <v>45683</v>
      </c>
      <c r="F480" t="s">
        <v>10</v>
      </c>
      <c r="G480" t="s">
        <v>22</v>
      </c>
      <c r="H480" t="s">
        <v>30</v>
      </c>
      <c r="I480" s="2">
        <v>517.219970703125</v>
      </c>
      <c r="J480" t="s">
        <v>14</v>
      </c>
      <c r="K480" t="str">
        <f>IF(Dispute[[#This Row],[Status]] = "In Progress", IF(Dispute[[#This Row],[Time_Line]]&gt;5, "Overdue", "Within SLA"), "Closed")</f>
        <v>Closed</v>
      </c>
    </row>
    <row r="481" spans="1:11" x14ac:dyDescent="0.25">
      <c r="A481" t="s">
        <v>501</v>
      </c>
      <c r="B481" s="1">
        <v>45711</v>
      </c>
      <c r="C481" s="1">
        <v>45712</v>
      </c>
      <c r="D481" s="4">
        <f>IF(OR(Dispute[[#This Row],[Resolution_Date]]="",E481 = 0), "", E481-C481)</f>
        <v>2</v>
      </c>
      <c r="E481" s="1">
        <v>45714</v>
      </c>
      <c r="F481" t="s">
        <v>25</v>
      </c>
      <c r="G481" t="s">
        <v>11</v>
      </c>
      <c r="H481" t="s">
        <v>30</v>
      </c>
      <c r="I481" s="2">
        <v>296.8900146484375</v>
      </c>
      <c r="J481" t="s">
        <v>14</v>
      </c>
      <c r="K481" t="str">
        <f>IF(Dispute[[#This Row],[Status]] = "In Progress", IF(Dispute[[#This Row],[Time_Line]]&gt;5, "Overdue", "Within SLA"), "Closed")</f>
        <v>Closed</v>
      </c>
    </row>
    <row r="482" spans="1:11" x14ac:dyDescent="0.25">
      <c r="A482" t="s">
        <v>502</v>
      </c>
      <c r="B482" s="1">
        <v>45669</v>
      </c>
      <c r="C482" s="1">
        <v>45678</v>
      </c>
      <c r="D482" s="4" t="str">
        <f>IF(OR(Dispute[[#This Row],[Resolution_Date]]="",E482 = 0), "", E482-C482)</f>
        <v/>
      </c>
      <c r="F482" t="s">
        <v>15</v>
      </c>
      <c r="G482" t="s">
        <v>16</v>
      </c>
      <c r="H482" t="s">
        <v>23</v>
      </c>
      <c r="I482" s="2">
        <v>654.4000244140625</v>
      </c>
      <c r="J482" t="s">
        <v>46</v>
      </c>
      <c r="K482" t="str">
        <f>IF(Dispute[[#This Row],[Status]] = "In Progress", IF(Dispute[[#This Row],[Time_Line]]&gt;5, "Overdue", "Within SLA"), "Closed")</f>
        <v>Overdue</v>
      </c>
    </row>
    <row r="483" spans="1:11" x14ac:dyDescent="0.25">
      <c r="A483" t="s">
        <v>503</v>
      </c>
      <c r="B483" s="1">
        <v>45703</v>
      </c>
      <c r="C483" s="1">
        <v>45711</v>
      </c>
      <c r="D483" s="4" t="str">
        <f>IF(OR(Dispute[[#This Row],[Resolution_Date]]="",E483 = 0), "", E483-C483)</f>
        <v/>
      </c>
      <c r="F483" t="s">
        <v>10</v>
      </c>
      <c r="G483" t="s">
        <v>11</v>
      </c>
      <c r="H483" t="s">
        <v>19</v>
      </c>
      <c r="I483" s="2">
        <v>565.6500244140625</v>
      </c>
      <c r="J483" t="s">
        <v>46</v>
      </c>
      <c r="K483" t="str">
        <f>IF(Dispute[[#This Row],[Status]] = "In Progress", IF(Dispute[[#This Row],[Time_Line]]&gt;5, "Overdue", "Within SLA"), "Closed")</f>
        <v>Overdue</v>
      </c>
    </row>
    <row r="484" spans="1:11" x14ac:dyDescent="0.25">
      <c r="A484" t="s">
        <v>504</v>
      </c>
      <c r="B484" s="1">
        <v>45684</v>
      </c>
      <c r="C484" s="1">
        <v>45691</v>
      </c>
      <c r="D484" s="4">
        <f>IF(OR(Dispute[[#This Row],[Resolution_Date]]="",E484 = 0), "", E484-C484)</f>
        <v>7</v>
      </c>
      <c r="E484" s="1">
        <v>45698</v>
      </c>
      <c r="F484" t="s">
        <v>25</v>
      </c>
      <c r="G484" t="s">
        <v>11</v>
      </c>
      <c r="H484" t="s">
        <v>12</v>
      </c>
      <c r="I484" s="2">
        <v>286.58999633789063</v>
      </c>
      <c r="J484" t="s">
        <v>14</v>
      </c>
      <c r="K484" t="str">
        <f>IF(Dispute[[#This Row],[Status]] = "In Progress", IF(Dispute[[#This Row],[Time_Line]]&gt;5, "Overdue", "Within SLA"), "Closed")</f>
        <v>Closed</v>
      </c>
    </row>
    <row r="485" spans="1:11" x14ac:dyDescent="0.25">
      <c r="A485" t="s">
        <v>505</v>
      </c>
      <c r="B485" s="1">
        <v>45714</v>
      </c>
      <c r="C485" s="1">
        <v>45719</v>
      </c>
      <c r="D485" s="4">
        <f>IF(OR(Dispute[[#This Row],[Resolution_Date]]="",E485 = 0), "", E485-C485)</f>
        <v>7</v>
      </c>
      <c r="E485" s="1">
        <v>45726</v>
      </c>
      <c r="F485" t="s">
        <v>15</v>
      </c>
      <c r="G485" t="s">
        <v>11</v>
      </c>
      <c r="H485" t="s">
        <v>30</v>
      </c>
      <c r="I485" s="2">
        <v>1194.800048828125</v>
      </c>
      <c r="J485" t="s">
        <v>9</v>
      </c>
      <c r="K485" t="str">
        <f>IF(Dispute[[#This Row],[Status]] = "In Progress", IF(Dispute[[#This Row],[Time_Line]]&gt;5, "Overdue", "Within SLA"), "Closed")</f>
        <v>Closed</v>
      </c>
    </row>
    <row r="486" spans="1:11" x14ac:dyDescent="0.25">
      <c r="A486" t="s">
        <v>506</v>
      </c>
      <c r="B486" s="1">
        <v>45677</v>
      </c>
      <c r="C486" s="1">
        <v>45680</v>
      </c>
      <c r="D486" s="4" t="str">
        <f>IF(OR(Dispute[[#This Row],[Resolution_Date]]="",E486 = 0), "", E486-C486)</f>
        <v/>
      </c>
      <c r="F486" t="s">
        <v>15</v>
      </c>
      <c r="G486" t="s">
        <v>22</v>
      </c>
      <c r="H486" t="s">
        <v>12</v>
      </c>
      <c r="I486" s="2">
        <v>824.70001220703125</v>
      </c>
      <c r="J486" t="s">
        <v>46</v>
      </c>
      <c r="K486" t="str">
        <f>IF(Dispute[[#This Row],[Status]] = "In Progress", IF(Dispute[[#This Row],[Time_Line]]&gt;5, "Overdue", "Within SLA"), "Closed")</f>
        <v>Overdue</v>
      </c>
    </row>
    <row r="487" spans="1:11" x14ac:dyDescent="0.25">
      <c r="A487" t="s">
        <v>507</v>
      </c>
      <c r="B487" s="1">
        <v>45714</v>
      </c>
      <c r="C487" s="1">
        <v>45719</v>
      </c>
      <c r="D487" s="4">
        <f>IF(OR(Dispute[[#This Row],[Resolution_Date]]="",E487 = 0), "", E487-C487)</f>
        <v>2</v>
      </c>
      <c r="E487" s="1">
        <v>45721</v>
      </c>
      <c r="F487" t="s">
        <v>10</v>
      </c>
      <c r="G487" t="s">
        <v>16</v>
      </c>
      <c r="H487" t="s">
        <v>19</v>
      </c>
      <c r="I487" s="2">
        <v>390.1099853515625</v>
      </c>
      <c r="J487" t="s">
        <v>9</v>
      </c>
      <c r="K487" t="str">
        <f>IF(Dispute[[#This Row],[Status]] = "In Progress", IF(Dispute[[#This Row],[Time_Line]]&gt;5, "Overdue", "Within SLA"), "Closed")</f>
        <v>Closed</v>
      </c>
    </row>
    <row r="488" spans="1:11" x14ac:dyDescent="0.25">
      <c r="A488" t="s">
        <v>508</v>
      </c>
      <c r="B488" s="1">
        <v>45702</v>
      </c>
      <c r="C488" s="1">
        <v>45711</v>
      </c>
      <c r="D488" s="4">
        <f>IF(OR(Dispute[[#This Row],[Resolution_Date]]="",E488 = 0), "", E488-C488)</f>
        <v>1</v>
      </c>
      <c r="E488" s="1">
        <v>45712</v>
      </c>
      <c r="F488" t="s">
        <v>15</v>
      </c>
      <c r="G488" t="s">
        <v>18</v>
      </c>
      <c r="H488" t="s">
        <v>19</v>
      </c>
      <c r="I488" s="2">
        <v>889.1300048828125</v>
      </c>
      <c r="J488" t="s">
        <v>14</v>
      </c>
      <c r="K488" t="str">
        <f>IF(Dispute[[#This Row],[Status]] = "In Progress", IF(Dispute[[#This Row],[Time_Line]]&gt;5, "Overdue", "Within SLA"), "Closed")</f>
        <v>Closed</v>
      </c>
    </row>
    <row r="489" spans="1:11" x14ac:dyDescent="0.25">
      <c r="A489" t="s">
        <v>509</v>
      </c>
      <c r="B489" s="1">
        <v>45669</v>
      </c>
      <c r="C489" s="1">
        <v>45675</v>
      </c>
      <c r="D489" s="4">
        <f>IF(OR(Dispute[[#This Row],[Resolution_Date]]="",E489 = 0), "", E489-C489)</f>
        <v>6</v>
      </c>
      <c r="E489" s="1">
        <v>45681</v>
      </c>
      <c r="F489" t="s">
        <v>15</v>
      </c>
      <c r="G489" t="s">
        <v>16</v>
      </c>
      <c r="H489" t="s">
        <v>12</v>
      </c>
      <c r="I489" s="2">
        <v>748.0999755859375</v>
      </c>
      <c r="J489" t="s">
        <v>9</v>
      </c>
      <c r="K489" t="str">
        <f>IF(Dispute[[#This Row],[Status]] = "In Progress", IF(Dispute[[#This Row],[Time_Line]]&gt;5, "Overdue", "Within SLA"), "Closed")</f>
        <v>Closed</v>
      </c>
    </row>
    <row r="490" spans="1:11" x14ac:dyDescent="0.25">
      <c r="A490" t="s">
        <v>510</v>
      </c>
      <c r="B490" s="1">
        <v>45706</v>
      </c>
      <c r="C490" s="1">
        <v>45710</v>
      </c>
      <c r="D490" s="4">
        <f>IF(OR(Dispute[[#This Row],[Resolution_Date]]="",E490 = 0), "", E490-C490)</f>
        <v>5</v>
      </c>
      <c r="E490" s="1">
        <v>45715</v>
      </c>
      <c r="F490" t="s">
        <v>15</v>
      </c>
      <c r="G490" t="s">
        <v>18</v>
      </c>
      <c r="H490" t="s">
        <v>19</v>
      </c>
      <c r="I490" s="2">
        <v>481.82998657226563</v>
      </c>
      <c r="J490" t="s">
        <v>14</v>
      </c>
      <c r="K490" t="str">
        <f>IF(Dispute[[#This Row],[Status]] = "In Progress", IF(Dispute[[#This Row],[Time_Line]]&gt;5, "Overdue", "Within SLA"), "Closed")</f>
        <v>Closed</v>
      </c>
    </row>
    <row r="491" spans="1:11" x14ac:dyDescent="0.25">
      <c r="A491" t="s">
        <v>511</v>
      </c>
      <c r="B491" s="1">
        <v>45706</v>
      </c>
      <c r="C491" s="1">
        <v>45707</v>
      </c>
      <c r="D491" s="4">
        <f>IF(OR(Dispute[[#This Row],[Resolution_Date]]="",E491 = 0), "", E491-C491)</f>
        <v>5</v>
      </c>
      <c r="E491" s="1">
        <v>45712</v>
      </c>
      <c r="F491" t="s">
        <v>25</v>
      </c>
      <c r="G491" t="s">
        <v>11</v>
      </c>
      <c r="H491" t="s">
        <v>30</v>
      </c>
      <c r="I491" s="2">
        <v>925.78997802734375</v>
      </c>
      <c r="J491" t="s">
        <v>14</v>
      </c>
      <c r="K491" t="str">
        <f>IF(Dispute[[#This Row],[Status]] = "In Progress", IF(Dispute[[#This Row],[Time_Line]]&gt;5, "Overdue", "Within SLA"), "Closed")</f>
        <v>Closed</v>
      </c>
    </row>
    <row r="492" spans="1:11" x14ac:dyDescent="0.25">
      <c r="A492" t="s">
        <v>512</v>
      </c>
      <c r="B492" s="1">
        <v>45709</v>
      </c>
      <c r="C492" s="1">
        <v>45713</v>
      </c>
      <c r="D492" s="4" t="str">
        <f>IF(OR(Dispute[[#This Row],[Resolution_Date]]="",E492 = 0), "", E492-C492)</f>
        <v/>
      </c>
      <c r="F492" t="s">
        <v>25</v>
      </c>
      <c r="G492" t="s">
        <v>22</v>
      </c>
      <c r="H492" t="s">
        <v>19</v>
      </c>
      <c r="I492" s="2">
        <v>1068.6700439453125</v>
      </c>
      <c r="J492" t="s">
        <v>46</v>
      </c>
      <c r="K492" t="str">
        <f>IF(Dispute[[#This Row],[Status]] = "In Progress", IF(Dispute[[#This Row],[Time_Line]]&gt;5, "Overdue", "Within SLA"), "Closed")</f>
        <v>Overdue</v>
      </c>
    </row>
    <row r="493" spans="1:11" x14ac:dyDescent="0.25">
      <c r="A493" t="s">
        <v>513</v>
      </c>
      <c r="B493" s="1">
        <v>45687</v>
      </c>
      <c r="C493" s="1">
        <v>45692</v>
      </c>
      <c r="D493" s="4">
        <f>IF(OR(Dispute[[#This Row],[Resolution_Date]]="",E493 = 0), "", E493-C493)</f>
        <v>7</v>
      </c>
      <c r="E493" s="1">
        <v>45699</v>
      </c>
      <c r="F493" t="s">
        <v>15</v>
      </c>
      <c r="G493" t="s">
        <v>16</v>
      </c>
      <c r="H493" t="s">
        <v>23</v>
      </c>
      <c r="I493" s="2">
        <v>1023.1699829101563</v>
      </c>
      <c r="J493" t="s">
        <v>9</v>
      </c>
      <c r="K493" t="str">
        <f>IF(Dispute[[#This Row],[Status]] = "In Progress", IF(Dispute[[#This Row],[Time_Line]]&gt;5, "Overdue", "Within SLA"), "Closed")</f>
        <v>Closed</v>
      </c>
    </row>
    <row r="494" spans="1:11" x14ac:dyDescent="0.25">
      <c r="A494" t="s">
        <v>514</v>
      </c>
      <c r="B494" s="1">
        <v>45659</v>
      </c>
      <c r="C494" s="1">
        <v>45665</v>
      </c>
      <c r="D494" s="4">
        <f>IF(OR(Dispute[[#This Row],[Resolution_Date]]="",E494 = 0), "", E494-C494)</f>
        <v>1</v>
      </c>
      <c r="E494" s="1">
        <v>45666</v>
      </c>
      <c r="F494" t="s">
        <v>10</v>
      </c>
      <c r="G494" t="s">
        <v>11</v>
      </c>
      <c r="H494" t="s">
        <v>30</v>
      </c>
      <c r="I494" s="2">
        <v>302.42001342773438</v>
      </c>
      <c r="J494" t="s">
        <v>9</v>
      </c>
      <c r="K494" t="str">
        <f>IF(Dispute[[#This Row],[Status]] = "In Progress", IF(Dispute[[#This Row],[Time_Line]]&gt;5, "Overdue", "Within SLA"), "Closed")</f>
        <v>Closed</v>
      </c>
    </row>
    <row r="495" spans="1:11" x14ac:dyDescent="0.25">
      <c r="A495" t="s">
        <v>515</v>
      </c>
      <c r="B495" s="1">
        <v>45666</v>
      </c>
      <c r="C495" s="1">
        <v>45671</v>
      </c>
      <c r="D495" s="4">
        <f>IF(OR(Dispute[[#This Row],[Resolution_Date]]="",E495 = 0), "", E495-C495)</f>
        <v>3</v>
      </c>
      <c r="E495" s="1">
        <v>45674</v>
      </c>
      <c r="F495" t="s">
        <v>25</v>
      </c>
      <c r="G495" t="s">
        <v>22</v>
      </c>
      <c r="H495" t="s">
        <v>23</v>
      </c>
      <c r="I495" s="2">
        <v>508.22000122070313</v>
      </c>
      <c r="J495" t="s">
        <v>14</v>
      </c>
      <c r="K495" t="str">
        <f>IF(Dispute[[#This Row],[Status]] = "In Progress", IF(Dispute[[#This Row],[Time_Line]]&gt;5, "Overdue", "Within SLA"), "Closed")</f>
        <v>Closed</v>
      </c>
    </row>
    <row r="496" spans="1:11" x14ac:dyDescent="0.25">
      <c r="A496" t="s">
        <v>516</v>
      </c>
      <c r="B496" s="1">
        <v>45711</v>
      </c>
      <c r="C496" s="1">
        <v>45720</v>
      </c>
      <c r="D496" s="4">
        <f>IF(OR(Dispute[[#This Row],[Resolution_Date]]="",E496 = 0), "", E496-C496)</f>
        <v>7</v>
      </c>
      <c r="E496" s="1">
        <v>45727</v>
      </c>
      <c r="F496" t="s">
        <v>10</v>
      </c>
      <c r="G496" t="s">
        <v>22</v>
      </c>
      <c r="H496" t="s">
        <v>19</v>
      </c>
      <c r="I496" s="2">
        <v>1211.18994140625</v>
      </c>
      <c r="J496" t="s">
        <v>14</v>
      </c>
      <c r="K496" t="str">
        <f>IF(Dispute[[#This Row],[Status]] = "In Progress", IF(Dispute[[#This Row],[Time_Line]]&gt;5, "Overdue", "Within SLA"), "Closed")</f>
        <v>Closed</v>
      </c>
    </row>
    <row r="497" spans="1:11" x14ac:dyDescent="0.25">
      <c r="A497" t="s">
        <v>517</v>
      </c>
      <c r="B497" s="1">
        <v>45713</v>
      </c>
      <c r="C497" s="1">
        <v>45715</v>
      </c>
      <c r="D497" s="4">
        <f>IF(OR(Dispute[[#This Row],[Resolution_Date]]="",E497 = 0), "", E497-C497)</f>
        <v>7</v>
      </c>
      <c r="E497" s="1">
        <v>45722</v>
      </c>
      <c r="F497" t="s">
        <v>10</v>
      </c>
      <c r="G497" t="s">
        <v>18</v>
      </c>
      <c r="H497" t="s">
        <v>30</v>
      </c>
      <c r="I497" s="2">
        <v>713.94000244140625</v>
      </c>
      <c r="J497" t="s">
        <v>9</v>
      </c>
      <c r="K497" t="str">
        <f>IF(Dispute[[#This Row],[Status]] = "In Progress", IF(Dispute[[#This Row],[Time_Line]]&gt;5, "Overdue", "Within SLA"), "Closed")</f>
        <v>Closed</v>
      </c>
    </row>
    <row r="498" spans="1:11" x14ac:dyDescent="0.25">
      <c r="A498" t="s">
        <v>518</v>
      </c>
      <c r="B498" s="1">
        <v>45692</v>
      </c>
      <c r="C498" s="1">
        <v>45702</v>
      </c>
      <c r="D498" s="4">
        <f>IF(OR(Dispute[[#This Row],[Resolution_Date]]="",E498 = 0), "", E498-C498)</f>
        <v>7</v>
      </c>
      <c r="E498" s="1">
        <v>45709</v>
      </c>
      <c r="F498" t="s">
        <v>25</v>
      </c>
      <c r="G498" t="s">
        <v>18</v>
      </c>
      <c r="H498" t="s">
        <v>19</v>
      </c>
      <c r="I498" s="2">
        <v>300.01998901367188</v>
      </c>
      <c r="J498" t="s">
        <v>9</v>
      </c>
      <c r="K498" t="str">
        <f>IF(Dispute[[#This Row],[Status]] = "In Progress", IF(Dispute[[#This Row],[Time_Line]]&gt;5, "Overdue", "Within SLA"), "Closed")</f>
        <v>Closed</v>
      </c>
    </row>
    <row r="499" spans="1:11" x14ac:dyDescent="0.25">
      <c r="A499" t="s">
        <v>519</v>
      </c>
      <c r="B499" s="1">
        <v>45706</v>
      </c>
      <c r="C499" s="1">
        <v>45715</v>
      </c>
      <c r="D499" s="4">
        <f>IF(OR(Dispute[[#This Row],[Resolution_Date]]="",E499 = 0), "", E499-C499)</f>
        <v>6</v>
      </c>
      <c r="E499" s="1">
        <v>45721</v>
      </c>
      <c r="F499" t="s">
        <v>25</v>
      </c>
      <c r="G499" t="s">
        <v>18</v>
      </c>
      <c r="H499" t="s">
        <v>12</v>
      </c>
      <c r="I499" s="2">
        <v>52.849998474121094</v>
      </c>
      <c r="J499" t="s">
        <v>9</v>
      </c>
      <c r="K499" t="str">
        <f>IF(Dispute[[#This Row],[Status]] = "In Progress", IF(Dispute[[#This Row],[Time_Line]]&gt;5, "Overdue", "Within SLA"), "Closed")</f>
        <v>Closed</v>
      </c>
    </row>
    <row r="500" spans="1:11" x14ac:dyDescent="0.25">
      <c r="A500" t="s">
        <v>520</v>
      </c>
      <c r="B500" s="1">
        <v>45688</v>
      </c>
      <c r="C500" s="1">
        <v>45697</v>
      </c>
      <c r="D500" s="4">
        <f>IF(OR(Dispute[[#This Row],[Resolution_Date]]="",E500 = 0), "", E500-C500)</f>
        <v>6</v>
      </c>
      <c r="E500" s="1">
        <v>45703</v>
      </c>
      <c r="F500" t="s">
        <v>15</v>
      </c>
      <c r="G500" t="s">
        <v>11</v>
      </c>
      <c r="H500" t="s">
        <v>12</v>
      </c>
      <c r="I500" s="2">
        <v>157.82000732421875</v>
      </c>
      <c r="J500" t="s">
        <v>9</v>
      </c>
      <c r="K500" t="str">
        <f>IF(Dispute[[#This Row],[Status]] = "In Progress", IF(Dispute[[#This Row],[Time_Line]]&gt;5, "Overdue", "Within SLA"), "Closed")</f>
        <v>Closed</v>
      </c>
    </row>
    <row r="501" spans="1:11" x14ac:dyDescent="0.25">
      <c r="A501" t="s">
        <v>521</v>
      </c>
      <c r="B501" s="1">
        <v>45666</v>
      </c>
      <c r="C501" s="1">
        <v>45676</v>
      </c>
      <c r="D501" s="4">
        <f>IF(OR(Dispute[[#This Row],[Resolution_Date]]="",E501 = 0), "", E501-C501)</f>
        <v>1</v>
      </c>
      <c r="E501" s="1">
        <v>45677</v>
      </c>
      <c r="F501" t="s">
        <v>25</v>
      </c>
      <c r="G501" t="s">
        <v>18</v>
      </c>
      <c r="H501" t="s">
        <v>30</v>
      </c>
      <c r="I501" s="2">
        <v>1150.72998046875</v>
      </c>
      <c r="J501" t="s">
        <v>14</v>
      </c>
      <c r="K501" t="str">
        <f>IF(Dispute[[#This Row],[Status]] = "In Progress", IF(Dispute[[#This Row],[Time_Line]]&gt;5, "Overdue", "Within SLA"), "Closed")</f>
        <v>Closed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7D4EC-7ED2-4B9D-A76C-268FC17A8AFA}">
  <dimension ref="A3:G51"/>
  <sheetViews>
    <sheetView zoomScaleNormal="100" workbookViewId="0">
      <selection activeCell="A13" sqref="A13"/>
    </sheetView>
  </sheetViews>
  <sheetFormatPr defaultRowHeight="15" x14ac:dyDescent="0.25"/>
  <cols>
    <col min="1" max="1" width="13.140625" bestFit="1" customWidth="1"/>
    <col min="2" max="2" width="26.140625" bestFit="1" customWidth="1"/>
    <col min="3" max="3" width="7.42578125" bestFit="1" customWidth="1"/>
    <col min="4" max="4" width="10.7109375" bestFit="1" customWidth="1"/>
    <col min="5" max="5" width="11.28515625" bestFit="1" customWidth="1"/>
    <col min="7" max="7" width="10.140625" bestFit="1" customWidth="1"/>
  </cols>
  <sheetData>
    <row r="3" spans="1:3" x14ac:dyDescent="0.25">
      <c r="A3" s="5" t="s">
        <v>524</v>
      </c>
      <c r="B3" t="s">
        <v>526</v>
      </c>
      <c r="C3" t="s">
        <v>527</v>
      </c>
    </row>
    <row r="4" spans="1:3" x14ac:dyDescent="0.25">
      <c r="A4" s="6" t="s">
        <v>18</v>
      </c>
      <c r="B4" s="2">
        <v>83968.630083084106</v>
      </c>
      <c r="C4">
        <v>134</v>
      </c>
    </row>
    <row r="5" spans="1:3" x14ac:dyDescent="0.25">
      <c r="A5" s="6" t="s">
        <v>22</v>
      </c>
      <c r="B5" s="2">
        <v>79195.709892272949</v>
      </c>
      <c r="C5">
        <v>132</v>
      </c>
    </row>
    <row r="6" spans="1:3" x14ac:dyDescent="0.25">
      <c r="A6" s="6" t="s">
        <v>16</v>
      </c>
      <c r="B6" s="2">
        <v>69793.559814453125</v>
      </c>
      <c r="C6">
        <v>119</v>
      </c>
    </row>
    <row r="7" spans="1:3" x14ac:dyDescent="0.25">
      <c r="A7" s="6" t="s">
        <v>11</v>
      </c>
      <c r="B7" s="2">
        <v>67656.439929962158</v>
      </c>
      <c r="C7">
        <v>115</v>
      </c>
    </row>
    <row r="8" spans="1:3" x14ac:dyDescent="0.25">
      <c r="A8" s="6" t="s">
        <v>525</v>
      </c>
      <c r="B8" s="2">
        <v>300614.33971977234</v>
      </c>
      <c r="C8">
        <v>500</v>
      </c>
    </row>
    <row r="13" spans="1:3" x14ac:dyDescent="0.25">
      <c r="A13" s="5" t="s">
        <v>524</v>
      </c>
      <c r="B13" t="s">
        <v>531</v>
      </c>
    </row>
    <row r="14" spans="1:3" x14ac:dyDescent="0.25">
      <c r="A14" s="6" t="s">
        <v>18</v>
      </c>
      <c r="B14" s="2">
        <v>626.63156778420978</v>
      </c>
    </row>
    <row r="15" spans="1:3" x14ac:dyDescent="0.25">
      <c r="A15" s="6" t="s">
        <v>11</v>
      </c>
      <c r="B15" s="2">
        <v>588.31686895619271</v>
      </c>
    </row>
    <row r="16" spans="1:3" x14ac:dyDescent="0.25">
      <c r="A16" s="6" t="s">
        <v>22</v>
      </c>
      <c r="B16" s="2">
        <v>599.96749918388593</v>
      </c>
    </row>
    <row r="17" spans="1:7" x14ac:dyDescent="0.25">
      <c r="A17" s="6" t="s">
        <v>16</v>
      </c>
      <c r="B17" s="2">
        <v>586.50050264246329</v>
      </c>
    </row>
    <row r="18" spans="1:7" x14ac:dyDescent="0.25">
      <c r="A18" s="6" t="s">
        <v>525</v>
      </c>
      <c r="B18" s="2">
        <v>601.22867943954463</v>
      </c>
    </row>
    <row r="20" spans="1:7" x14ac:dyDescent="0.25">
      <c r="A20" s="5" t="s">
        <v>527</v>
      </c>
      <c r="B20" s="5" t="s">
        <v>529</v>
      </c>
    </row>
    <row r="21" spans="1:7" x14ac:dyDescent="0.25">
      <c r="A21" s="5" t="s">
        <v>524</v>
      </c>
      <c r="B21" t="s">
        <v>9</v>
      </c>
      <c r="C21" t="s">
        <v>14</v>
      </c>
      <c r="D21" t="s">
        <v>46</v>
      </c>
      <c r="E21" t="s">
        <v>525</v>
      </c>
    </row>
    <row r="22" spans="1:7" x14ac:dyDescent="0.25">
      <c r="A22" s="6" t="s">
        <v>19</v>
      </c>
      <c r="B22">
        <v>50</v>
      </c>
      <c r="C22">
        <v>65</v>
      </c>
      <c r="D22">
        <v>24</v>
      </c>
      <c r="E22">
        <v>139</v>
      </c>
    </row>
    <row r="23" spans="1:7" x14ac:dyDescent="0.25">
      <c r="A23" s="6" t="s">
        <v>12</v>
      </c>
      <c r="B23">
        <v>46</v>
      </c>
      <c r="C23">
        <v>57</v>
      </c>
      <c r="D23">
        <v>22</v>
      </c>
      <c r="E23">
        <v>125</v>
      </c>
    </row>
    <row r="24" spans="1:7" x14ac:dyDescent="0.25">
      <c r="A24" s="6" t="s">
        <v>30</v>
      </c>
      <c r="B24">
        <v>49</v>
      </c>
      <c r="C24">
        <v>51</v>
      </c>
      <c r="D24">
        <v>24</v>
      </c>
      <c r="E24">
        <v>124</v>
      </c>
    </row>
    <row r="25" spans="1:7" x14ac:dyDescent="0.25">
      <c r="A25" s="6" t="s">
        <v>23</v>
      </c>
      <c r="B25">
        <v>58</v>
      </c>
      <c r="C25">
        <v>37</v>
      </c>
      <c r="D25">
        <v>17</v>
      </c>
      <c r="E25">
        <v>112</v>
      </c>
    </row>
    <row r="26" spans="1:7" x14ac:dyDescent="0.25">
      <c r="A26" s="6" t="s">
        <v>525</v>
      </c>
      <c r="B26">
        <v>203</v>
      </c>
      <c r="C26">
        <v>210</v>
      </c>
      <c r="D26">
        <v>87</v>
      </c>
      <c r="E26">
        <v>500</v>
      </c>
    </row>
    <row r="29" spans="1:7" x14ac:dyDescent="0.25">
      <c r="G29" t="s">
        <v>530</v>
      </c>
    </row>
    <row r="30" spans="1:7" x14ac:dyDescent="0.25">
      <c r="G30" s="2">
        <v>49339.650005340576</v>
      </c>
    </row>
    <row r="32" spans="1:7" x14ac:dyDescent="0.25">
      <c r="A32" s="5" t="s">
        <v>527</v>
      </c>
      <c r="B32" s="5" t="s">
        <v>529</v>
      </c>
    </row>
    <row r="33" spans="1:5" x14ac:dyDescent="0.25">
      <c r="A33" s="5" t="s">
        <v>524</v>
      </c>
      <c r="B33" t="s">
        <v>9</v>
      </c>
      <c r="C33" t="s">
        <v>14</v>
      </c>
      <c r="D33" t="s">
        <v>46</v>
      </c>
      <c r="E33" t="s">
        <v>525</v>
      </c>
    </row>
    <row r="34" spans="1:5" x14ac:dyDescent="0.25">
      <c r="A34" s="6" t="s">
        <v>18</v>
      </c>
      <c r="B34">
        <v>61</v>
      </c>
      <c r="C34">
        <v>52</v>
      </c>
      <c r="D34">
        <v>21</v>
      </c>
      <c r="E34">
        <v>134</v>
      </c>
    </row>
    <row r="35" spans="1:5" x14ac:dyDescent="0.25">
      <c r="A35" s="6" t="s">
        <v>11</v>
      </c>
      <c r="B35">
        <v>38</v>
      </c>
      <c r="C35">
        <v>57</v>
      </c>
      <c r="D35">
        <v>20</v>
      </c>
      <c r="E35">
        <v>115</v>
      </c>
    </row>
    <row r="36" spans="1:5" x14ac:dyDescent="0.25">
      <c r="A36" s="6" t="s">
        <v>22</v>
      </c>
      <c r="B36">
        <v>52</v>
      </c>
      <c r="C36">
        <v>50</v>
      </c>
      <c r="D36">
        <v>30</v>
      </c>
      <c r="E36">
        <v>132</v>
      </c>
    </row>
    <row r="37" spans="1:5" x14ac:dyDescent="0.25">
      <c r="A37" s="6" t="s">
        <v>16</v>
      </c>
      <c r="B37">
        <v>52</v>
      </c>
      <c r="C37">
        <v>51</v>
      </c>
      <c r="D37">
        <v>16</v>
      </c>
      <c r="E37">
        <v>119</v>
      </c>
    </row>
    <row r="38" spans="1:5" x14ac:dyDescent="0.25">
      <c r="A38" s="6" t="s">
        <v>525</v>
      </c>
      <c r="B38">
        <v>203</v>
      </c>
      <c r="C38">
        <v>210</v>
      </c>
      <c r="D38">
        <v>87</v>
      </c>
      <c r="E38">
        <v>500</v>
      </c>
    </row>
    <row r="46" spans="1:5" x14ac:dyDescent="0.25">
      <c r="A46" s="5" t="s">
        <v>524</v>
      </c>
      <c r="B46" t="s">
        <v>527</v>
      </c>
    </row>
    <row r="47" spans="1:5" x14ac:dyDescent="0.25">
      <c r="A47" s="6" t="s">
        <v>23</v>
      </c>
      <c r="B47">
        <v>112</v>
      </c>
    </row>
    <row r="48" spans="1:5" x14ac:dyDescent="0.25">
      <c r="A48" s="6" t="s">
        <v>12</v>
      </c>
      <c r="B48">
        <v>125</v>
      </c>
    </row>
    <row r="49" spans="1:2" x14ac:dyDescent="0.25">
      <c r="A49" s="6" t="s">
        <v>30</v>
      </c>
      <c r="B49">
        <v>124</v>
      </c>
    </row>
    <row r="50" spans="1:2" x14ac:dyDescent="0.25">
      <c r="A50" s="6" t="s">
        <v>19</v>
      </c>
      <c r="B50">
        <v>139</v>
      </c>
    </row>
    <row r="51" spans="1:2" x14ac:dyDescent="0.25">
      <c r="A51" s="6" t="s">
        <v>525</v>
      </c>
      <c r="B51">
        <v>500</v>
      </c>
    </row>
  </sheetData>
  <pageMargins left="0.7" right="0.7" top="0.75" bottom="0.75" header="0.3" footer="0.3"/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917E5-A258-44C4-A265-370C942F25AE}">
  <dimension ref="A1"/>
  <sheetViews>
    <sheetView showGridLines="0" showRowColHeaders="0" tabSelected="1" zoomScale="78" zoomScaleNormal="78" workbookViewId="0">
      <selection activeCell="Y23" sqref="Y23"/>
    </sheetView>
  </sheetViews>
  <sheetFormatPr defaultRowHeight="15" x14ac:dyDescent="0.25"/>
  <sheetData/>
  <pageMargins left="0.7" right="0.7" top="0.75" bottom="0.75" header="0.3" footer="0.3"/>
  <drawing r:id="rId1"/>
  <extLst>
    <ext xmlns:x15="http://schemas.microsoft.com/office/spreadsheetml/2010/11/main" uri="{7E03D99C-DC04-49d9-9315-930204A7B6E9}">
      <x15:timelineRefs>
        <x15:timelineRef r:id="rId2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Blessing Oladimeji</dc:creator>
  <cp:lastModifiedBy>Blessing Oladimeji</cp:lastModifiedBy>
  <dcterms:created xsi:type="dcterms:W3CDTF">2026-01-23T05:58:22Z</dcterms:created>
  <dcterms:modified xsi:type="dcterms:W3CDTF">2026-02-21T04:13:36Z</dcterms:modified>
</cp:coreProperties>
</file>